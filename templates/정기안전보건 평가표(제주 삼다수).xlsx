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28680" yWindow="-120" windowWidth="23256" windowHeight="13176"/>
  </bookViews>
  <sheets>
    <sheet name="평가 결과" sheetId="2" r:id="rId1"/>
    <sheet name="안전보건 서류부문" sheetId="3" r:id="rId2"/>
    <sheet name="안전보건 현장부문" sheetId="5" r:id="rId3"/>
    <sheet name="Sheet3" sheetId="6" r:id="rId4"/>
  </sheets>
  <definedNames>
    <definedName name="_xlnm.Print_Area" localSheetId="2">'안전보건 현장부문'!$C$2:$H$166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2"/>
  <c r="O13"/>
  <c r="F166" i="5"/>
  <c r="E166"/>
  <c r="G166" l="1"/>
  <c r="I13" i="2" s="1"/>
  <c r="G87" i="3" l="1"/>
  <c r="E147"/>
  <c r="E150"/>
  <c r="E144"/>
  <c r="E141"/>
  <c r="E135"/>
  <c r="E132"/>
  <c r="E117"/>
  <c r="E93"/>
  <c r="E108"/>
  <c r="E102"/>
  <c r="E123"/>
  <c r="E114"/>
  <c r="E111"/>
  <c r="E105"/>
  <c r="G50"/>
  <c r="E86"/>
  <c r="E83"/>
  <c r="E80"/>
  <c r="E77"/>
  <c r="E74"/>
  <c r="E71"/>
  <c r="E68"/>
  <c r="E65"/>
  <c r="E62"/>
  <c r="E59"/>
  <c r="E56"/>
  <c r="E53"/>
  <c r="E129"/>
  <c r="E126"/>
  <c r="E138"/>
  <c r="E27"/>
  <c r="E24"/>
  <c r="E15"/>
  <c r="E120"/>
  <c r="E99"/>
  <c r="E96"/>
  <c r="E90"/>
  <c r="G6"/>
  <c r="H87" l="1"/>
  <c r="P23" i="2" s="1"/>
  <c r="F17" s="1"/>
  <c r="H50" i="3"/>
  <c r="P22" i="2" s="1"/>
  <c r="F16" s="1"/>
  <c r="E36" i="3" l="1"/>
  <c r="E45"/>
  <c r="E33"/>
  <c r="E42"/>
  <c r="E39"/>
  <c r="E30"/>
  <c r="E21"/>
  <c r="E48"/>
  <c r="E18"/>
  <c r="E12"/>
  <c r="E9"/>
  <c r="H6" l="1"/>
  <c r="P21" i="2" s="1"/>
  <c r="F15" s="1"/>
  <c r="L13"/>
  <c r="F13" l="1"/>
  <c r="D13" l="1"/>
</calcChain>
</file>

<file path=xl/comments1.xml><?xml version="1.0" encoding="utf-8"?>
<comments xmlns="http://schemas.openxmlformats.org/spreadsheetml/2006/main">
  <authors>
    <author>user</author>
  </authors>
  <commentList>
    <comment ref="E3" authorId="0">
      <text>
        <r>
          <rPr>
            <sz val="8"/>
            <color indexed="81"/>
            <rFont val="돋움"/>
            <family val="3"/>
            <charset val="129"/>
          </rPr>
          <t>일반재해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발생가능하며</t>
        </r>
        <r>
          <rPr>
            <sz val="8"/>
            <color indexed="81"/>
            <rFont val="Tahoma"/>
            <family val="2"/>
          </rPr>
          <t xml:space="preserve">, 
</t>
        </r>
        <r>
          <rPr>
            <sz val="8"/>
            <color indexed="81"/>
            <rFont val="돋움"/>
            <family val="3"/>
            <charset val="129"/>
          </rPr>
          <t>즉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개선조치가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가능한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지적</t>
        </r>
      </text>
    </comment>
    <comment ref="F3" authorId="0">
      <text>
        <r>
          <rPr>
            <sz val="8"/>
            <color indexed="81"/>
            <rFont val="맑은 고딕"/>
            <family val="3"/>
            <charset val="129"/>
          </rPr>
          <t>사고발생시 중대재해 및 중대Issue 사고 발생 가능한 지적사항</t>
        </r>
      </text>
    </comment>
  </commentList>
</comments>
</file>

<file path=xl/sharedStrings.xml><?xml version="1.0" encoding="utf-8"?>
<sst xmlns="http://schemas.openxmlformats.org/spreadsheetml/2006/main" count="443" uniqueCount="372">
  <si>
    <t>현 장</t>
  </si>
  <si>
    <t>공 사</t>
  </si>
  <si>
    <t>공 무</t>
  </si>
  <si>
    <t>안 전</t>
  </si>
  <si>
    <t>소 장</t>
  </si>
  <si>
    <t>현 장 명</t>
  </si>
  <si>
    <t>공 사 금 액</t>
  </si>
  <si>
    <t>VAT포함</t>
  </si>
  <si>
    <t>항 목</t>
  </si>
  <si>
    <t>배점</t>
  </si>
  <si>
    <t>평가</t>
  </si>
  <si>
    <t>항        목</t>
    <phoneticPr fontId="11" type="noConversion"/>
  </si>
  <si>
    <t>비고</t>
    <phoneticPr fontId="11" type="noConversion"/>
  </si>
  <si>
    <t>점검 기간</t>
    <phoneticPr fontId="8" type="noConversion"/>
  </si>
  <si>
    <t>공 사 기 간</t>
    <phoneticPr fontId="8" type="noConversion"/>
  </si>
  <si>
    <t>기준</t>
    <phoneticPr fontId="8" type="noConversion"/>
  </si>
  <si>
    <t>100점</t>
    <phoneticPr fontId="8" type="noConversion"/>
  </si>
  <si>
    <t>안전보건 서류부문</t>
    <phoneticPr fontId="8" type="noConversion"/>
  </si>
  <si>
    <t>안전보건 현장부문</t>
    <phoneticPr fontId="8" type="noConversion"/>
  </si>
  <si>
    <t>50점</t>
    <phoneticPr fontId="8" type="noConversion"/>
  </si>
  <si>
    <t>구 분</t>
    <phoneticPr fontId="8" type="noConversion"/>
  </si>
  <si>
    <t>가 감점</t>
    <phoneticPr fontId="8" type="noConversion"/>
  </si>
  <si>
    <t>총점</t>
    <phoneticPr fontId="8" type="noConversion"/>
  </si>
  <si>
    <t>□ 가 감점</t>
    <phoneticPr fontId="8" type="noConversion"/>
  </si>
  <si>
    <t>구 분</t>
    <phoneticPr fontId="8" type="noConversion"/>
  </si>
  <si>
    <t>내 용</t>
    <phoneticPr fontId="8" type="noConversion"/>
  </si>
  <si>
    <t>점 수</t>
    <phoneticPr fontId="8" type="noConversion"/>
  </si>
  <si>
    <t>가 점</t>
    <phoneticPr fontId="8" type="noConversion"/>
  </si>
  <si>
    <t>감 점</t>
    <phoneticPr fontId="8" type="noConversion"/>
  </si>
  <si>
    <t>점수</t>
    <phoneticPr fontId="8" type="noConversion"/>
  </si>
  <si>
    <t>대외 시상(횟수당 1점)</t>
    <phoneticPr fontId="8" type="noConversion"/>
  </si>
  <si>
    <t>현장 소장</t>
    <phoneticPr fontId="8" type="noConversion"/>
  </si>
  <si>
    <t>관리감독자</t>
    <phoneticPr fontId="8" type="noConversion"/>
  </si>
  <si>
    <t>안전관리자</t>
    <phoneticPr fontId="8" type="noConversion"/>
  </si>
  <si>
    <t>우수 현장 선정(직전년도 1회 1점)</t>
    <phoneticPr fontId="8" type="noConversion"/>
  </si>
  <si>
    <t>업무 협조(ISO 심사 등)(횟수당 1점)</t>
    <phoneticPr fontId="8" type="noConversion"/>
  </si>
  <si>
    <t>업무상 사고 발생 (해당년도 건당 -2점)</t>
    <phoneticPr fontId="8" type="noConversion"/>
  </si>
  <si>
    <t>재발방지 대책 미 이행(건당 -1점)</t>
    <phoneticPr fontId="8" type="noConversion"/>
  </si>
  <si>
    <t>안전보건 서류부문</t>
    <phoneticPr fontId="8" type="noConversion"/>
  </si>
  <si>
    <t>산업안전보건법상 안전보건 서류 검토 및 승인 外</t>
    <phoneticPr fontId="8" type="noConversion"/>
  </si>
  <si>
    <t>산업안전보건법상 안전보건 서류 작성관리 및 검토 外</t>
    <phoneticPr fontId="8" type="noConversion"/>
  </si>
  <si>
    <t>산업안전보건법 및 중처법상 안전보건 서류작성 및 관리 外</t>
    <phoneticPr fontId="8" type="noConversion"/>
  </si>
  <si>
    <t>안전부문 서류부문 점검표</t>
    <phoneticPr fontId="8" type="noConversion"/>
  </si>
  <si>
    <t>구 분</t>
    <phoneticPr fontId="8" type="noConversion"/>
  </si>
  <si>
    <t>YES</t>
  </si>
  <si>
    <t>1) 전사 안전보건 방침 및 목표와 연계
2) 안전보건 목표가 정량적으로 설정
3) 안전보건 방침 및 목표 구성원 공유
4) 현장내(교육장, 조회장, 식당 등)안전보건 방침 및 목표 게시</t>
    <phoneticPr fontId="8" type="noConversion"/>
  </si>
  <si>
    <t>1) 연간 안전보건 운영계획 검토 및 승인
2) 월간 안전보건 운영계획 검토 및 승인
3) 연간/월간 안전보건 운영계획 이행관리
4) 일일 당직자 안전보건 이행준수 관리</t>
    <phoneticPr fontId="8" type="noConversion"/>
  </si>
  <si>
    <t>1) 종사자 안전보건 의견 청취 및 검토
2) 청취된 의견에 대한 조치지시 및 결과 검토
3) 종사자 의견청취 방법(노사 동수 또는 개별 건의함 등)적절성 검토</t>
    <phoneticPr fontId="8" type="noConversion"/>
  </si>
  <si>
    <r>
      <t xml:space="preserve">점 검 내 용
</t>
    </r>
    <r>
      <rPr>
        <sz val="9"/>
        <color theme="1"/>
        <rFont val="맑은 고딕"/>
        <family val="3"/>
        <charset val="129"/>
      </rPr>
      <t>10점(5점) : 모두 충족, 5점(2점) : 1개 미충족, 0점 : 1개 초과 미충족</t>
    </r>
    <phoneticPr fontId="8" type="noConversion"/>
  </si>
  <si>
    <t>1) 산업안전보건관리비 법적요율 계상 및 승인
2) 산업안전보건관리비 사용계획 수립(세부내역 포함)
3) 산업안전보건관리비 월별 사용내역 검토 및 승인
4) 목적외 물품 사용 승인</t>
    <phoneticPr fontId="8" type="noConversion"/>
  </si>
  <si>
    <t xml:space="preserve"> 현장 소장</t>
    <phoneticPr fontId="8" type="noConversion"/>
  </si>
  <si>
    <t xml:space="preserve"> 관리감독자</t>
    <phoneticPr fontId="8" type="noConversion"/>
  </si>
  <si>
    <t>현장소장
안전보건
활동평가</t>
    <phoneticPr fontId="8" type="noConversion"/>
  </si>
  <si>
    <t>1) 노사협의체 노사 동수 구성 검토
2) 노사협의체 심의의결 및 협의사항 진행, 결과 승인
3) 근로자 대표 선출 검토 및 승인</t>
    <phoneticPr fontId="8" type="noConversion"/>
  </si>
  <si>
    <t>1) 연간 비상사태 대응 계획 검토 및 승인
    - 현장 발생가능 비상사태, 훈련 및 교육 일정 등
2) 비상사태 대응 시나리오, 훈련 실시 및 강평 진행 검토 및 승인
3) 도상 훈련시 전 직원 전파교육 실시
4) 비상사태(중대재해)대응절차 및 비상연락망 수립 등 검토</t>
    <phoneticPr fontId="8" type="noConversion"/>
  </si>
  <si>
    <t>1) 50억 이상 공사에 대한 공사안전보건 대장 작성 검토 및 승인
2) 3개월 마다 공사안전보건대장 이행실적 검토 및 승인</t>
    <phoneticPr fontId="8" type="noConversion"/>
  </si>
  <si>
    <t>항목 점수</t>
    <phoneticPr fontId="8" type="noConversion"/>
  </si>
  <si>
    <t>총 점
(평가 의견)</t>
    <phoneticPr fontId="8" type="noConversion"/>
  </si>
  <si>
    <t>1) 중장비 작업에 계획수립 및 법적 포함사항 기재 검토
   - 추락,낙하,전도,협착 및 붕괴 예방대책 등
2) 중장비 필요서류 검토 및 안전검사 확인 등
3) 신호수 및 유도원 위치 지정, 지정서 검토
4) 인력기준 10kg 이상 중량물 및 중장비 1ton 이상 취급계획 검토
5) 중량물 양중작업시 줄걸이(샤클, 와이어 外)작업계획 수립 검토</t>
    <phoneticPr fontId="8" type="noConversion"/>
  </si>
  <si>
    <t>1. 유해위험요인 관리
   (최초, 정기 위험성평가)</t>
    <phoneticPr fontId="8" type="noConversion"/>
  </si>
  <si>
    <t>2. 유해위험요인 관리
   (수시 위험성평가)</t>
    <phoneticPr fontId="8" type="noConversion"/>
  </si>
  <si>
    <t>3. 작업허가제
   (Permit To Work)</t>
    <phoneticPr fontId="8" type="noConversion"/>
  </si>
  <si>
    <t>4. 작업허가제
   (차량계 및 중량물작업 계획)</t>
    <phoneticPr fontId="8" type="noConversion"/>
  </si>
  <si>
    <t>1) 협력사 관리감독자 지정 검토, 관리
2) 신호수, 유도원, 화기 및 밀폐감시자 지정 검토, 관리</t>
    <phoneticPr fontId="8" type="noConversion"/>
  </si>
  <si>
    <t xml:space="preserve">1) 시설물 설치 및 해체계획 운영, 관리
2) 비계 설치 및 해체 계획서 작성, 법적 준수사항 검토 </t>
    <phoneticPr fontId="8" type="noConversion"/>
  </si>
  <si>
    <t>8. 안전보건 교육</t>
    <phoneticPr fontId="8" type="noConversion"/>
  </si>
  <si>
    <t>1) 안전보건 관리규정 최신 제·개정 검토 및 승인(근로자 대표 참여포함)
2) 안전보건 관리규정 게시(사무실, 휴게시설 또는 안전교육장)
3) 현장 안전보건 조직 및 비상조직도 편성 검토</t>
    <phoneticPr fontId="8" type="noConversion"/>
  </si>
  <si>
    <t>1) 안전보건관리책임자, 안전관리자 선임 및 법적교육 승인
2) 당사 관리감독자 임명 및 역할 준수 검토</t>
    <phoneticPr fontId="8" type="noConversion"/>
  </si>
  <si>
    <t>1) PTW 와 일일 위험성평가의 연계 및 작업관리자 지정 검토, 승인
2) 고 위험작업(차량계 건설기계, 밀폐, 화기등)계획 검토 및 승인</t>
    <phoneticPr fontId="8" type="noConversion"/>
  </si>
  <si>
    <t>1. 안전보건 방침 및 목표</t>
    <phoneticPr fontId="8" type="noConversion"/>
  </si>
  <si>
    <t>2. 연간/월간 안전보건 운영 계획</t>
    <phoneticPr fontId="8" type="noConversion"/>
  </si>
  <si>
    <t>3. 안전보건 관리규정</t>
    <phoneticPr fontId="8" type="noConversion"/>
  </si>
  <si>
    <t>4. 안전관계자 운영</t>
    <phoneticPr fontId="8" type="noConversion"/>
  </si>
  <si>
    <t>6. 유해위험요인 관리</t>
    <phoneticPr fontId="8" type="noConversion"/>
  </si>
  <si>
    <t>7. 작업허가제</t>
    <phoneticPr fontId="8" type="noConversion"/>
  </si>
  <si>
    <t>8. 안전보건 교육</t>
    <phoneticPr fontId="8" type="noConversion"/>
  </si>
  <si>
    <t>9. 비상사태 대응</t>
    <phoneticPr fontId="8" type="noConversion"/>
  </si>
  <si>
    <t>10. 종사자 안전보건 의견</t>
    <phoneticPr fontId="8" type="noConversion"/>
  </si>
  <si>
    <t>11. 안전보건 회의</t>
    <phoneticPr fontId="8" type="noConversion"/>
  </si>
  <si>
    <t>12. 협력업체 관리</t>
    <phoneticPr fontId="8" type="noConversion"/>
  </si>
  <si>
    <t>13. 공사안전보건대장</t>
    <phoneticPr fontId="8" type="noConversion"/>
  </si>
  <si>
    <t>14. 작업중지권</t>
    <phoneticPr fontId="8" type="noConversion"/>
  </si>
  <si>
    <t>1) 협력업체 안전보건 평가 승인
2) 협력업체 안전보건 평가결과 검토 및 승인(자체 패널티 진행 승인)
    - 60점 미만업체 안전보건 협조문등 발송 검토</t>
    <phoneticPr fontId="8" type="noConversion"/>
  </si>
  <si>
    <t>1) 협력업체 안전보건 평가 진행
2) 협력업체 안전보건 평가결과 검토 및 60점 미만업체 특별교육 실시
3) 안전보건 활동 미참여 협력업체 참여독려 및 필요시 직접 활동진행</t>
    <phoneticPr fontId="8" type="noConversion"/>
  </si>
  <si>
    <t xml:space="preserve">1) 신규, 특별, 정기안전교육 실시 및 법적 교육내용 준수 검토
2) 외국인력 신규/특별 교육전 투입적절성 검토(비자 및 각종 서류등)
3) 일일(수시)위험성평가에 대한 근로자 전파교육 진행 및 결과 검토 
4) 관리감독자 법적 교육이수 적절성 검토(반기 8시간 이상)
5) 타워크레인 신호수 법적교육(8시상)이수 및 수료증 검토 
6) 특수작업 및 위험물질(MSDS)취급작업자 교육진행 </t>
    <phoneticPr fontId="8" type="noConversion"/>
  </si>
  <si>
    <t>1) 비상사태 대응 훈련 담당협력사 포함 참여
2) 밀폐작업 진행전 질식, 폭발등 비상사태 대응 교육, 훈련 진행</t>
    <phoneticPr fontId="8" type="noConversion"/>
  </si>
  <si>
    <t>1) 유해위험기계기구(공도구)반입 및 정기점검 관리
2) 양중박스 구조검토 및 허용중량 표시관리</t>
    <phoneticPr fontId="8" type="noConversion"/>
  </si>
  <si>
    <t>5. 안전보건 예산</t>
    <phoneticPr fontId="8" type="noConversion"/>
  </si>
  <si>
    <t>6. 작업허가제
   (기타_시설물 및 비계설치해체 계획)</t>
    <phoneticPr fontId="8" type="noConversion"/>
  </si>
  <si>
    <t>5. 작업허가제
   (연장/야간/휴일작업 인수인계)</t>
    <phoneticPr fontId="8" type="noConversion"/>
  </si>
  <si>
    <t>7. 안전관계자 운영</t>
    <phoneticPr fontId="8" type="noConversion"/>
  </si>
  <si>
    <t>9. 협력업체 관리</t>
    <phoneticPr fontId="8" type="noConversion"/>
  </si>
  <si>
    <t>10. 비상사태 대응</t>
    <phoneticPr fontId="8" type="noConversion"/>
  </si>
  <si>
    <t>11. 유해위험기계기구</t>
    <phoneticPr fontId="8" type="noConversion"/>
  </si>
  <si>
    <t>1) 연장/야간/휴일작업 사전 검토 및 승인 관리
2) 연장/야간/휴일작업과 수시위험성평가의 연계성 관리(안전대책 포함)</t>
    <phoneticPr fontId="8" type="noConversion"/>
  </si>
  <si>
    <t>12. 작업중지권</t>
    <phoneticPr fontId="8" type="noConversion"/>
  </si>
  <si>
    <t>1) 근로자 작업중지권 보장 및 현장 홍보, 게시 검토
2) 작업중지권 이력관리 검토
3) 작업중지권 사용 후 작업재개에 대한 절차 검토 및 승인</t>
    <phoneticPr fontId="8" type="noConversion"/>
  </si>
  <si>
    <t>1) 근로자 작업중지권 보장 및 관련절차 교육
2) 작업중지권 이력관리 
3) 작업중지권 발동시 작업재개를 위한 조치 및 조치결과 승인요청</t>
    <phoneticPr fontId="8" type="noConversion"/>
  </si>
  <si>
    <t>관리감독자
안전보건
활동평가</t>
    <phoneticPr fontId="8" type="noConversion"/>
  </si>
  <si>
    <t>현장 소장 (10점)</t>
    <phoneticPr fontId="8" type="noConversion"/>
  </si>
  <si>
    <t>1) 위험성평가와 작업허가서간 작업사항 및 위험요인 연계
2) 위험요인에 대한 검토 및 안전대책 지도
3) 고 위험작업(화기, 밀폐)에 대한 작업허가 검토
4) 밀폐공간 작업 프로그램 수립 및 검토
5) 밀폐작업 입출 관리 및 농도측정 이력 검토
6) 일일 작업에 대한 근로자 교육 및 서명 관리</t>
    <phoneticPr fontId="8" type="noConversion"/>
  </si>
  <si>
    <t>안전관리자</t>
    <phoneticPr fontId="8" type="noConversion"/>
  </si>
  <si>
    <t>안전관리자
안전보건
활동평가</t>
    <phoneticPr fontId="8" type="noConversion"/>
  </si>
  <si>
    <t>1) 전사 안전보건 방침 및 목표와 연계하여 현장 방침 및 목표 수립
2) 안전보건 목표를 정량적으로 설정(측정 가능하도록 설정 필요)
3) 안전보건 방침 및 목표 전 구성원(협력사 포함)공유
4) 현장내(교육장, 조회장, 식당 등)안전보건 방침 및 목표 게시</t>
    <phoneticPr fontId="8" type="noConversion"/>
  </si>
  <si>
    <t>1) 연간 안전보건 운영계획 수립 및 승인 관리
2) 월간 안전보건 운영계획 수립 및 및 승인 관리
3) 연간/월간 안전보건 운영계획 이행측정 관리
4) 일일 당직자 안전점검 및 연장/야간/휴일작업 인수인계 관리</t>
    <phoneticPr fontId="8" type="noConversion"/>
  </si>
  <si>
    <t>1) 전사 안전보건 관리규정 제·개정 및 승인관리 (근로자 대표 참여포함)
2) 현장 안전보건 관리규정 게시 (사무실, 휴게시설 또는 안전교육장)
3) 현장 안전보건 조직 및 비상조직도 편성</t>
    <phoneticPr fontId="8" type="noConversion"/>
  </si>
  <si>
    <t>1) 안전보건관리책임자, 안전관리자 선임 및 법적교육 이수관리
2) 당사 및 협력사 관리감독자 임명, 역할 준수 검토
3) 신호수, 유도원, 감시자 지정 관리</t>
    <phoneticPr fontId="8" type="noConversion"/>
  </si>
  <si>
    <t>1) 산업안전보건관리비 법적요율 계상 및 승인관리
2) 산업안전보건관리비 사용계획(세부계획)수립 및 승인관리</t>
    <phoneticPr fontId="8" type="noConversion"/>
  </si>
  <si>
    <t>5. 안전보건 예산
   (계획 수립)</t>
    <phoneticPr fontId="8" type="noConversion"/>
  </si>
  <si>
    <t>1) 시설물 및 안전용품 입출관리, 보호구 지급대장 일치여부 검토
2) 당사 및 협력사 안전관리비 항목별 기재 오류 검토 
3) 9번 항목 사용시 법규준수 여부 
   - 9번 항목 사용시 위험성평가 안전대책 수립 → 노사협의 심의의결</t>
    <phoneticPr fontId="8" type="noConversion"/>
  </si>
  <si>
    <t>6. 안전보건 예산
   (내역 작성)</t>
    <phoneticPr fontId="8" type="noConversion"/>
  </si>
  <si>
    <t>7. 안전보건 예산
   (기타_주요항목 법규준수)</t>
    <phoneticPr fontId="8" type="noConversion"/>
  </si>
  <si>
    <t>1) 최초 위험성평가 내용 검토 및 승인 관리
2) 정기 위험성평가 1년 마다 잔여작업에 대한 평가 및 승인 관리
3) 수시 위험성평가 위험사항 및 안전대책 적절성 검토 및 승인 관리
4) 위험성평가 근로자 참여 및 의견 반영
5) 위험성평가에 대한 근로자 전파교육 및 이행준수 검토</t>
    <phoneticPr fontId="8" type="noConversion"/>
  </si>
  <si>
    <t>8. 유해위험요인 관리
   (위험성평가)</t>
    <phoneticPr fontId="8" type="noConversion"/>
  </si>
  <si>
    <t>9. 유해위험요인 관리
   (안전점검)</t>
    <phoneticPr fontId="8" type="noConversion"/>
  </si>
  <si>
    <t>10. 작업허가제</t>
    <phoneticPr fontId="8" type="noConversion"/>
  </si>
  <si>
    <t>11. 안전보건 교육</t>
    <phoneticPr fontId="8" type="noConversion"/>
  </si>
  <si>
    <t>12. 비상사태 대응</t>
    <phoneticPr fontId="8" type="noConversion"/>
  </si>
  <si>
    <t xml:space="preserve">1) 연간 비상사태 대응 계획 수립 및 승인 관리
    - 현장 발생가능 비상사태, 훈련 및 교육 일정 등
2) 비상사태별 대응 시나리오, 훈련 실시 및 강평 등 결과보고서 승인 관리
3) 도상 훈련시 전 직원 전파교육 및 승인 관리
4) 비상사태(중대재해)대응절차 및 비상연락망 수립 </t>
    <phoneticPr fontId="8" type="noConversion"/>
  </si>
  <si>
    <t>1) PTW 와 일일 위험성평가의 연계 및 적절한 안전대책 수립 검토
2) 차량계 건설기계 및 중량물 작업에 대한 계획수립 및 Rigging Plan 검토 
3) 고 위험작업(밀폐, 화기등)에 PTW 작성 및 안전대책 검토, 승인 관리
4) 밀폐작업 투입 근로자 비상사태 대응 훈련 또는 교육 실시 관리 
5) 시설물 해체복구, 비계설치해체 계획수립 및 작업허가 운영 여부</t>
    <phoneticPr fontId="8" type="noConversion"/>
  </si>
  <si>
    <t>13. 종사자 안전보건 의견</t>
    <phoneticPr fontId="8" type="noConversion"/>
  </si>
  <si>
    <t>14. 안전보건 회의</t>
    <phoneticPr fontId="8" type="noConversion"/>
  </si>
  <si>
    <t>1) 노사협의체 노사 동수 구성
2) 노사협의체 심의의결(찬성/반대)및 협의사항 공유, 승인 관리
3) 근로자 대표 선출 및 선출근거 확보(과반수 의결 등)
   - 근로자 대표가 명예산업감독관 추천시, 위촉 및 위촉 근거 확보
4) 안전보건협의체 회의시 협의사항, 위험성평가 등급결정 진행</t>
    <phoneticPr fontId="8" type="noConversion"/>
  </si>
  <si>
    <t>15. 협력업체 관리</t>
    <phoneticPr fontId="8" type="noConversion"/>
  </si>
  <si>
    <t>1) 월 1회 자체 협력사 안전보건 평가 진행
2) 반기 1회 협력사 안전보건 평가 및 현장소장 승인, 평가결과 본사 공유
3) 협력업체 안전보건 평가결과에 따른 자체 패널티 진행
    - 60점 미만업체 안전보건 협조문등 발송, 특별교육 진행 관리 등</t>
    <phoneticPr fontId="8" type="noConversion"/>
  </si>
  <si>
    <t>16. 공사안전보건대장</t>
    <phoneticPr fontId="8" type="noConversion"/>
  </si>
  <si>
    <t>1) 50억 이상 공사에 대한 공사안전보건 대장 작성 및 승인 관리
2) 설계안전보건대장의 유해위험 안전대책에 대한 시공사분 이행 관리
3) 공사안전보건대장의 내용변경에 따른 개정 진행 및 승인 관리
4) 3개월 마다 공사안전보건대장 이행실적 점검 및 승인 관리</t>
    <phoneticPr fontId="8" type="noConversion"/>
  </si>
  <si>
    <t>17. 작업중지권</t>
    <phoneticPr fontId="8" type="noConversion"/>
  </si>
  <si>
    <t>1) 연간 안전보건 교육 운영계획 수립 및 승인 관리
2) 신규/특별/정기교육에 대한 교육내용, 강사, 시간 등 검토 및 승인 관리
3) 외국인력에 대한 신규/특별교육 및 Visa등 자료 검토
   - 외국인력 교육강사, 교육방식 등 실질적 교육여부 확인
4) 일일(수시)위험성평가에 대한 근로자 전파교육 실시 확인
5) 법적 선임인력 최초, 보수 교육 이수 관리
6) 기타 3개월 이상 상용근로자 특별교육 16시간 이수 관리(최초 4시간)</t>
    <phoneticPr fontId="8" type="noConversion"/>
  </si>
  <si>
    <t>1) 특수작업 대상자 작업투입전 배치전 건강검진 실시 관리
2) 유소견자에 관리 리스트 작성 및 적절한 작업배치, 주기적 체크 진행
3) 1년 이상 근로자 일반 건강검진 실시 및 유소견자 추적관리
4) 특수건강검진 대상자 주기별 건강검진 및 유소견자 추적관리
5) 신규 투입 인력에 대한 혈압 및 근골격계등 사전 건강관리</t>
    <phoneticPr fontId="8" type="noConversion"/>
  </si>
  <si>
    <t>18. 보건 관리
     (건강 검진)</t>
    <phoneticPr fontId="8" type="noConversion"/>
  </si>
  <si>
    <t>19. 보건 관리
     (작업환경 측정)</t>
    <phoneticPr fontId="8" type="noConversion"/>
  </si>
  <si>
    <t>1) 현장개설 및 착공 후 30일 이내 작업환경 측정 실시
2) 최초 실시 후 6개월 마다(반기 1회)작업환경 측정 실시</t>
    <phoneticPr fontId="8" type="noConversion"/>
  </si>
  <si>
    <t xml:space="preserve">1) 안전사고 발생 보고체계 및 비상연락망 수립
2) 안전사고 재발방지 대책 수립 및 현장 이행 준수
3) 3일 이상 요양을 요하는 안전사고 산업재해조사표 제출 및 보관 </t>
    <phoneticPr fontId="8" type="noConversion"/>
  </si>
  <si>
    <t>1) 유해물질별 MSDS 자료 관리
2) 유해물질별 보관장소 및 취급량 List 관리</t>
    <phoneticPr fontId="8" type="noConversion"/>
  </si>
  <si>
    <t>20. 보건 관리
     (MSDS물질 취급)</t>
    <phoneticPr fontId="8" type="noConversion"/>
  </si>
  <si>
    <t>21. 안전 사고</t>
    <phoneticPr fontId="8" type="noConversion"/>
  </si>
  <si>
    <t>1) 종사자 안전보건 의견 청취
2) 청취된 의견에 대한 조치지시 및 결과 보고  
    - 노사협의체, 안전보건협의체 진행시 전회 의견에 대한 피드백관리
3) 적절한 종사자 의견청취 방법(노사 동수 또는 개별 건의함 등)운영</t>
    <phoneticPr fontId="8" type="noConversion"/>
  </si>
  <si>
    <t xml:space="preserve"> </t>
    <phoneticPr fontId="11" type="noConversion"/>
  </si>
  <si>
    <t>② 안전대걸이시설 및 거치 상태</t>
    <phoneticPr fontId="13" type="noConversion"/>
  </si>
  <si>
    <t>① 메인볼트(1번, 7번또는8번) 표식여부</t>
    <phoneticPr fontId="13" type="noConversion"/>
  </si>
  <si>
    <t>② 인양작업시 통제구역 지정여부(접근금지 표식 설치)
    인양 전담작업자, 감시단, 신호수 운영 상태</t>
    <phoneticPr fontId="13" type="noConversion"/>
  </si>
  <si>
    <t>③ 갱폼 인양시 볼트선해체 여부(1번, 7번또는8번)</t>
    <phoneticPr fontId="13" type="noConversion"/>
  </si>
  <si>
    <t xml:space="preserve">④ 인양전 최상단 작업발판내 자재적재 결속상태   </t>
    <phoneticPr fontId="13" type="noConversion"/>
  </si>
  <si>
    <t>⑤ 갱폼과 벽체간 낙하물 예방시설 설치,관리상태</t>
    <phoneticPr fontId="11" type="noConversion"/>
  </si>
  <si>
    <t>② 가시설 철골 상부 안전대걸이시설 설치 및 거치 상태</t>
    <phoneticPr fontId="13" type="noConversion"/>
  </si>
  <si>
    <t>③ 작업발판, 추락방망, 달대비계 설치 상태</t>
    <phoneticPr fontId="13" type="noConversion"/>
  </si>
  <si>
    <t>① 안전난간대/안전표지 설치 상태</t>
    <phoneticPr fontId="13" type="noConversion"/>
  </si>
  <si>
    <t xml:space="preserve">② 망과 구조물 사이(코너부등 기타) 낙하물 방호상태    </t>
    <phoneticPr fontId="13" type="noConversion"/>
  </si>
  <si>
    <t>① 검정품 사용, 전용철물, 수평연결재 사용 및 설치 상태</t>
    <phoneticPr fontId="13" type="noConversion"/>
  </si>
  <si>
    <t>② 설치 간격, 수직도 유지 및 상하단 고정 상태</t>
    <phoneticPr fontId="13" type="noConversion"/>
  </si>
  <si>
    <t>③ 안전통로, 조명 확보 및 정리정돈 상태</t>
    <phoneticPr fontId="13" type="noConversion"/>
  </si>
  <si>
    <t>② 유입수 방지조치 및 배수로 설치 상태</t>
    <phoneticPr fontId="13" type="noConversion"/>
  </si>
  <si>
    <t>③ 가설전선의 중간부분 분기등 사용여부</t>
    <phoneticPr fontId="11" type="noConversion"/>
  </si>
  <si>
    <t>④ 벽부고정형 투광등을 이동식투광등 으로 사용여부</t>
    <phoneticPr fontId="11" type="noConversion"/>
  </si>
  <si>
    <t>⑤ 가설전등(투광등) 보호망 유지여부</t>
    <phoneticPr fontId="13" type="noConversion"/>
  </si>
  <si>
    <t>소    계</t>
    <phoneticPr fontId="11" type="noConversion"/>
  </si>
  <si>
    <t>양호</t>
    <phoneticPr fontId="8" type="noConversion"/>
  </si>
  <si>
    <t>미흡</t>
    <phoneticPr fontId="8" type="noConversion"/>
  </si>
  <si>
    <t>위험</t>
    <phoneticPr fontId="8" type="noConversion"/>
  </si>
  <si>
    <t xml:space="preserve">③ 작업계획서 게시(안전게시판운영)및 작업의 적절성 </t>
    <phoneticPr fontId="11" type="noConversion"/>
  </si>
  <si>
    <t>⑤ 작업장 조도 확보 상태(법적 조도기준 外 육안확인)</t>
    <phoneticPr fontId="13" type="noConversion"/>
  </si>
  <si>
    <t>발굴된 위험사항</t>
    <phoneticPr fontId="11" type="noConversion"/>
  </si>
  <si>
    <t>안전보건 현장부문 점검표</t>
    <phoneticPr fontId="11" type="noConversion"/>
  </si>
  <si>
    <t>① 단부 안전난간대 및 수평 개구부 덮개 설치 상태</t>
    <phoneticPr fontId="13" type="noConversion"/>
  </si>
  <si>
    <t>② 안전난간대 및 개구부 덮개 고정, 실명제 표시 상태</t>
    <phoneticPr fontId="13" type="noConversion"/>
  </si>
  <si>
    <t>③ D/A 최하층 출입통제를 위한 구획관리 상태</t>
    <phoneticPr fontId="13" type="noConversion"/>
  </si>
  <si>
    <t>정기 안전보건 평가 결과</t>
    <phoneticPr fontId="8" type="noConversion"/>
  </si>
  <si>
    <t>보정 계수</t>
    <phoneticPr fontId="8" type="noConversion"/>
  </si>
  <si>
    <t>안전보조원 운영</t>
    <phoneticPr fontId="8" type="noConversion"/>
  </si>
  <si>
    <t>미운영(1.02)</t>
  </si>
  <si>
    <t>1. 작업장 관리</t>
    <phoneticPr fontId="8" type="noConversion"/>
  </si>
  <si>
    <t>2. 개구부</t>
    <phoneticPr fontId="8" type="noConversion"/>
  </si>
  <si>
    <t>④ 작업별 개인보호구 착용 상태(안전모, 턱끈, 안전화, 각반, 벨트 
   보안면, 용접장갑, 방독/분진마스크, 좌상/충격방지 장갑 등)</t>
    <phoneticPr fontId="13" type="noConversion"/>
  </si>
  <si>
    <t>4. 가설통로</t>
    <phoneticPr fontId="8" type="noConversion"/>
  </si>
  <si>
    <t>④ 경사각 30도 이내, 15도이상시 미끄럼방지조치 및 
    높이 3M 이상시 3M이내 마다 계단참 설치 상태</t>
    <phoneticPr fontId="13" type="noConversion"/>
  </si>
  <si>
    <t>⑥ 굴착부 폭목 또는 수직방망 설치 및 배수로 관리 상태</t>
    <phoneticPr fontId="13" type="noConversion"/>
  </si>
  <si>
    <t>5. 사다리</t>
    <phoneticPr fontId="8" type="noConversion"/>
  </si>
  <si>
    <t>6. 가설비계</t>
    <phoneticPr fontId="8" type="noConversion"/>
  </si>
  <si>
    <t>7. 갱폼</t>
    <phoneticPr fontId="8" type="noConversion"/>
  </si>
  <si>
    <t>⑦ 말비계(우마) 다리고정, 발판끝단 발끝막이막 설치상태</t>
    <phoneticPr fontId="13" type="noConversion"/>
  </si>
  <si>
    <r>
      <t xml:space="preserve">⑤ E/V 출입구 난간 및 수직보호망 설치, </t>
    </r>
    <r>
      <rPr>
        <sz val="9"/>
        <color indexed="8"/>
        <rFont val="맑은 고딕"/>
        <family val="3"/>
        <charset val="129"/>
      </rPr>
      <t>고정</t>
    </r>
    <phoneticPr fontId="13" type="noConversion"/>
  </si>
  <si>
    <t>⑦ 세대 및 계단실 수직망의 적기설치 및 설치관리상태</t>
    <phoneticPr fontId="13" type="noConversion"/>
  </si>
  <si>
    <t>⑧ 기타 불안전한 상태 및 행동</t>
    <phoneticPr fontId="8" type="noConversion"/>
  </si>
  <si>
    <t>3. 슬라브 및 계단</t>
    <phoneticPr fontId="8" type="noConversion"/>
  </si>
  <si>
    <t>⑥  기타 불안전한 상태 및 행동</t>
    <phoneticPr fontId="13" type="noConversion"/>
  </si>
  <si>
    <t>⑦ 기타 불안전한 상태 및 행동</t>
    <phoneticPr fontId="13" type="noConversion"/>
  </si>
  <si>
    <t>⑥ 이동통로내 돌출부 및 충돌예방 조치 상태</t>
    <phoneticPr fontId="8" type="noConversion"/>
  </si>
  <si>
    <t>⑨ 기타 불안전한 상태 및 행동</t>
    <phoneticPr fontId="8" type="noConversion"/>
  </si>
  <si>
    <t>⑥ 기타 불안전한 상태 및 행동</t>
    <phoneticPr fontId="11" type="noConversion"/>
  </si>
  <si>
    <t>1) 흙막이 가시설</t>
    <phoneticPr fontId="8" type="noConversion"/>
  </si>
  <si>
    <t>8. 특별관리(추락)</t>
    <phoneticPr fontId="8" type="noConversion"/>
  </si>
  <si>
    <t>3) 철골공사</t>
    <phoneticPr fontId="8" type="noConversion"/>
  </si>
  <si>
    <t>4) 지붕판넬</t>
    <phoneticPr fontId="8" type="noConversion"/>
  </si>
  <si>
    <t>5) 외벽 로프</t>
    <phoneticPr fontId="8" type="noConversion"/>
  </si>
  <si>
    <t>9. 특별관리(낙하)</t>
    <phoneticPr fontId="8" type="noConversion"/>
  </si>
  <si>
    <t>③ 주출입구, 램프, 리프트 탑승장 등의 낙하물 발생장소
    방호선반 설치 여부</t>
    <phoneticPr fontId="13" type="noConversion"/>
  </si>
  <si>
    <t>④ 방호선반의 내민길이, 방호구대 설치 상태</t>
    <phoneticPr fontId="13" type="noConversion"/>
  </si>
  <si>
    <t>11. 차량계 하역기계</t>
    <phoneticPr fontId="8" type="noConversion"/>
  </si>
  <si>
    <t xml:space="preserve">⑤ 장비부착 접근방지조치 여부 </t>
    <phoneticPr fontId="13" type="noConversion"/>
  </si>
  <si>
    <t xml:space="preserve">⑥ 펌프카 아웃리거 받침목, 지반상태, 붐하부 출입통제    </t>
    <phoneticPr fontId="13" type="noConversion"/>
  </si>
  <si>
    <t>⑦ 고소작업대(렌탈) 안전장치 해제상태 작업여부 
    작업자 안전대사용 여부</t>
    <phoneticPr fontId="13" type="noConversion"/>
  </si>
  <si>
    <t>⑧ 고소작업대(랜탈) 문개방후고정상태, 정지시키관리상태</t>
    <phoneticPr fontId="11" type="noConversion"/>
  </si>
  <si>
    <t>12. 특별관리(붕괴)</t>
    <phoneticPr fontId="8" type="noConversion"/>
  </si>
  <si>
    <t>1) 거푸집 동바리</t>
    <phoneticPr fontId="8" type="noConversion"/>
  </si>
  <si>
    <t>2) 비계, 동바리</t>
    <phoneticPr fontId="8" type="noConversion"/>
  </si>
  <si>
    <t>② 시스템동바리 수평재 및 고정핀, 쐐기 설치 상태</t>
    <phoneticPr fontId="13" type="noConversion"/>
  </si>
  <si>
    <t>3) 굴착, 절취, 성토</t>
    <phoneticPr fontId="8" type="noConversion"/>
  </si>
  <si>
    <t>4) 흙막이 지보공</t>
    <phoneticPr fontId="8" type="noConversion"/>
  </si>
  <si>
    <t>⑤ 와이어로프, 슬링벨트, 체인 관리상태 및 클립 체결 상태</t>
    <phoneticPr fontId="13" type="noConversion"/>
  </si>
  <si>
    <t>⑩ 기타 불안전한 상태 및 행동</t>
    <phoneticPr fontId="13" type="noConversion"/>
  </si>
  <si>
    <t>13. 특별관리(감전)</t>
    <phoneticPr fontId="8" type="noConversion"/>
  </si>
  <si>
    <t>1) 분전반</t>
    <phoneticPr fontId="8" type="noConversion"/>
  </si>
  <si>
    <t>2)가설전기</t>
    <phoneticPr fontId="8" type="noConversion"/>
  </si>
  <si>
    <t>3) 전동공구류</t>
    <phoneticPr fontId="8" type="noConversion"/>
  </si>
  <si>
    <t>4) 용접기</t>
    <phoneticPr fontId="8" type="noConversion"/>
  </si>
  <si>
    <t>14. 화재 및 폭발</t>
    <phoneticPr fontId="8" type="noConversion"/>
  </si>
  <si>
    <t>15. 밀폐작업</t>
    <phoneticPr fontId="8" type="noConversion"/>
  </si>
  <si>
    <t>16. 기타 기계기구</t>
    <phoneticPr fontId="8" type="noConversion"/>
  </si>
  <si>
    <t>② 안전통로 구획 및 관리상태</t>
    <phoneticPr fontId="13" type="noConversion"/>
  </si>
  <si>
    <t>① 현장내 자재, 작업구역 설정 및 관리상태</t>
    <phoneticPr fontId="13" type="noConversion"/>
  </si>
  <si>
    <t>⑦ 비계위, 작업발판위, 철골위, 버팀대위 등 불안전 자재(전도 및
    낙하위험상태)적치 상태</t>
    <phoneticPr fontId="13" type="noConversion"/>
  </si>
  <si>
    <t>⑧ 공사용 자재의 적재불량 및 미결속, 전도위험 방치</t>
    <phoneticPr fontId="13" type="noConversion"/>
  </si>
  <si>
    <t>⑨ 작업 및 이동구간 상부 낙하물방지망 설치, 접근금지</t>
    <phoneticPr fontId="13" type="noConversion"/>
  </si>
  <si>
    <t>④ 자재반입구간 낙하물 방지망 설치 및 관리</t>
    <phoneticPr fontId="13" type="noConversion"/>
  </si>
  <si>
    <t>⑥ E/V PIT 내 층별 낙하물/추락 방지망, 방지틀 설치상태</t>
    <phoneticPr fontId="13" type="noConversion"/>
  </si>
  <si>
    <t>③  안전난간대 설치 및 고정상태</t>
    <phoneticPr fontId="13" type="noConversion"/>
  </si>
  <si>
    <t>④  타설층 계단단부 안전난간대 설치 및 고정상태</t>
    <phoneticPr fontId="13" type="noConversion"/>
  </si>
  <si>
    <t>⑤  계단경사로 사다리 규격제품 사용여부 (유로폼사용금지등)</t>
    <phoneticPr fontId="13" type="noConversion"/>
  </si>
  <si>
    <t>① 통로내 안전난간대 및 토보드 설치, 고정 상태</t>
    <phoneticPr fontId="13" type="noConversion"/>
  </si>
  <si>
    <t>① 안전난간대/토보드/수직방망/안전표지 설치 상태</t>
    <phoneticPr fontId="13" type="noConversion"/>
  </si>
  <si>
    <t>② 수직망 설치 및 트렌치 구간 덮개 또는 구획 관리 상태</t>
    <phoneticPr fontId="13" type="noConversion"/>
  </si>
  <si>
    <t>③ 가설계단 수직높이 3M이상시 계단참 설치 상태</t>
    <phoneticPr fontId="13" type="noConversion"/>
  </si>
  <si>
    <t>④ 경사각 30도 이상 60도이내 가설계단 설치여부</t>
    <phoneticPr fontId="13" type="noConversion"/>
  </si>
  <si>
    <t>⑤ 출입구 방호선반 및 측면 실족, 전도위험 상태</t>
    <phoneticPr fontId="13" type="noConversion"/>
  </si>
  <si>
    <t>⑤ 굴착부 통로내 안전난간대 설치 및 고정 여부</t>
    <phoneticPr fontId="13" type="noConversion"/>
  </si>
  <si>
    <t>① 안전점검 승인 및 재료의 변형 여부</t>
    <phoneticPr fontId="13" type="noConversion"/>
  </si>
  <si>
    <t>② A형 사다리의 적정 사용 상태(최상단 사용금지, 3.5m 이내 
   제한적 2인1조 작업, 아웃트리거 사용 및 필요시 상단부 고정)</t>
    <phoneticPr fontId="13" type="noConversion"/>
  </si>
  <si>
    <t>④ 승강용 사다리 여장길이 60CM 이상 확보 및 고정 상태</t>
    <phoneticPr fontId="13" type="noConversion"/>
  </si>
  <si>
    <t>③ 일자형 사다리 작업금지 및 승강용으로 사용여부, 아웃트리거 및      
   최상단부 고정상태</t>
    <phoneticPr fontId="13" type="noConversion"/>
  </si>
  <si>
    <t>⑤ 기타 불안전한 상태 및 행동</t>
    <phoneticPr fontId="8" type="noConversion"/>
  </si>
  <si>
    <r>
      <t xml:space="preserve">① 기둥, 띠장, 장선, 벽이음, 외부 경사지지대 설치 간격 및   
    밑받침, 깔판, </t>
    </r>
    <r>
      <rPr>
        <sz val="9"/>
        <color indexed="8"/>
        <rFont val="맑은 고딕"/>
        <family val="3"/>
        <charset val="129"/>
      </rPr>
      <t>가새 등 법적기준 준수 상태</t>
    </r>
    <phoneticPr fontId="13" type="noConversion"/>
  </si>
  <si>
    <t>② 작업발판의 재료, 견고성, 밀실 설치 및 고정 상태,
    안전난간대 설치 및 토보드(낙하방지)설치</t>
    <phoneticPr fontId="13" type="noConversion"/>
  </si>
  <si>
    <t>⑤ 이동구간 클램프 볼트 및 돌출부등 충돌부위 보양 상태</t>
    <phoneticPr fontId="13" type="noConversion"/>
  </si>
  <si>
    <t xml:space="preserve">④ 작업발판 밀실 설치 및 개구부 표기, 접금금지 상태 </t>
    <phoneticPr fontId="13" type="noConversion"/>
  </si>
  <si>
    <t>⑧ 틀비계 높이 밑변 최소 길이 4배 이하로 설치(3단 설치시 별도
    보강 필요)</t>
    <phoneticPr fontId="8" type="noConversion"/>
  </si>
  <si>
    <t>⑥ 틀비계 2단 사용시 수평 및 아웃트리거 설치, 고정 상태</t>
    <phoneticPr fontId="13" type="noConversion"/>
  </si>
  <si>
    <t>① 흙막이 상부 안전난간등의 추락예방 시설 설치 상태</t>
    <phoneticPr fontId="13" type="noConversion"/>
  </si>
  <si>
    <t>④ 우각부 추락방지시설물 설치 및 용접 이상유무 상태</t>
    <phoneticPr fontId="8" type="noConversion"/>
  </si>
  <si>
    <t>⑤ 띠장 연결부 해체시 바닥 수평상태 및 전도방지 조치 등</t>
    <phoneticPr fontId="8" type="noConversion"/>
  </si>
  <si>
    <t>⑥ 띠장 설치해체시 유도로프 사용 및 신호관리 상태</t>
    <phoneticPr fontId="8" type="noConversion"/>
  </si>
  <si>
    <t>⑦ 기타 불안전한 상태 및 행동</t>
    <phoneticPr fontId="8" type="noConversion"/>
  </si>
  <si>
    <t>2) PC공사</t>
    <phoneticPr fontId="8" type="noConversion"/>
  </si>
  <si>
    <t>① 안전난간대/안전표지 설치 상태</t>
    <phoneticPr fontId="13" type="noConversion"/>
  </si>
  <si>
    <t>② 보, 슬라브 단부 안전대걸이시설 및 거치 상태</t>
    <phoneticPr fontId="13" type="noConversion"/>
  </si>
  <si>
    <t>② 철골거더 및 보 안전대걸이시설 사전설치 후 양중</t>
    <phoneticPr fontId="13" type="noConversion"/>
  </si>
  <si>
    <t xml:space="preserve">④ 추락방망 설치 및 달대비계 재료, 견고성 여부 </t>
    <phoneticPr fontId="13" type="noConversion"/>
  </si>
  <si>
    <t>① 판넬 설치전 빔포스트 및 생명줄 설치</t>
    <phoneticPr fontId="13" type="noConversion"/>
  </si>
  <si>
    <t>② 판넬 설치시 생명줄에 안전고리 체결</t>
    <phoneticPr fontId="8" type="noConversion"/>
  </si>
  <si>
    <t>③ 생명줄 끊김없이 설치 및 안전고리 2중 교차체결 등</t>
    <phoneticPr fontId="13" type="noConversion"/>
  </si>
  <si>
    <t>③ 단부구간 안전난간대 또는 생명줄 해체 금지</t>
    <phoneticPr fontId="8" type="noConversion"/>
  </si>
  <si>
    <t>④ Table Lift 이용 승하강시 사전 안전고리 체결 여부</t>
    <phoneticPr fontId="13" type="noConversion"/>
  </si>
  <si>
    <t>⑤ Table Lift 이용 승하강시 사전 안전고리 체결 여부</t>
    <phoneticPr fontId="13" type="noConversion"/>
  </si>
  <si>
    <t xml:space="preserve">① 주로프 2점 이상 지지 및 시건장치 여부 </t>
    <phoneticPr fontId="13" type="noConversion"/>
  </si>
  <si>
    <t>② 하부 작업책임자 또는 통제원 배치 여부</t>
    <phoneticPr fontId="13" type="noConversion"/>
  </si>
  <si>
    <t>③ 보조로프 사용(로립의 올바른 사용여부)</t>
    <phoneticPr fontId="11" type="noConversion"/>
  </si>
  <si>
    <t>④ 작업자의 최초 작업대(젠다이)착지 시 안전고리 체결 여부</t>
    <phoneticPr fontId="11" type="noConversion"/>
  </si>
  <si>
    <t xml:space="preserve">⑤ 주로프의 길이가 중간에 끊김없고, 지면쪽 고정 및 관리 여부 </t>
    <phoneticPr fontId="11" type="noConversion"/>
  </si>
  <si>
    <t>① 높이 10m 이내, 내민길이 2m 이상, 망의 재료, 각도 20-30도,
   지지용 재료 안전 상태</t>
    <phoneticPr fontId="13" type="noConversion"/>
  </si>
  <si>
    <t>⑥ 양중물 줄걸이 상태 및 인양함 4점 지지 규칙 준수 여부</t>
    <phoneticPr fontId="13" type="noConversion"/>
  </si>
  <si>
    <t xml:space="preserve">⑥ 작업도구 이탈방지끈 사용 및 기타 불안전한 상태, 행동 </t>
    <phoneticPr fontId="11" type="noConversion"/>
  </si>
  <si>
    <t>10. 양중기
    (크레인, 리프트,
    곤돌라, 승강기)</t>
    <phoneticPr fontId="8" type="noConversion"/>
  </si>
  <si>
    <t>① 후사경, 후진경보음, 협착방지봉 상태 및 기계적 상태(볼팅, 용접
   상태, 와이어 마모 등)확인</t>
    <phoneticPr fontId="13" type="noConversion"/>
  </si>
  <si>
    <t>② TC 방호울 설치, 출입문 시건장치 및 운전원 안전통로 등</t>
    <phoneticPr fontId="13" type="noConversion"/>
  </si>
  <si>
    <t>④ 이동식크레인 아웃트리거 받침목, 지반상태, 인양함 사용, 
   인양자재, 인양로프 적정 여부</t>
    <phoneticPr fontId="13" type="noConversion"/>
  </si>
  <si>
    <t>③ 리프트 출입문 적정 설치 및 보조발판 설치 상태, 
   탑승구 자재적재 및 낙하위험(안전난간해체방치) 여부</t>
    <phoneticPr fontId="13" type="noConversion"/>
  </si>
  <si>
    <t>⑤ 곤도라 적재용량, 장비추락방지, 전원부 시건장치,
   보조로프 운영상태</t>
    <phoneticPr fontId="13" type="noConversion"/>
  </si>
  <si>
    <t>⑥ 기타 불안전한 상태 및 행동</t>
    <phoneticPr fontId="11" type="noConversion"/>
  </si>
  <si>
    <t xml:space="preserve">④ 백호우 작업시 버켓 안전핀 체결 여부.
   (버킷에근로자태우기,퀵커플러 체결상태 확인행위 외)      </t>
    <phoneticPr fontId="13" type="noConversion"/>
  </si>
  <si>
    <t>② 페이로터(셔블,포크) 운행상태
   (후사경등 각종 안전관련장치 및 과속 및 급회전상태)</t>
    <phoneticPr fontId="13" type="noConversion"/>
  </si>
  <si>
    <t>⑨ 고소작업차(스카이,카고) , 작업계획서, 
    작업책임자지정, 보조로프 사용여부</t>
    <phoneticPr fontId="13" type="noConversion"/>
  </si>
  <si>
    <t>① 지게차의 운행 상태(후사경등 각종 안전관련장치 포함)
   자재 중심점 체크 및 결속, 지반상태 관리 등</t>
    <phoneticPr fontId="13" type="noConversion"/>
  </si>
  <si>
    <t>④ 거푸집 기대어 보관 및 밟고 작업</t>
    <phoneticPr fontId="13" type="noConversion"/>
  </si>
  <si>
    <t xml:space="preserve">① 비계, 잭서포트, 동바리의 수평연결재, 가새 설치, 승강로, 발판 등     </t>
    <phoneticPr fontId="13" type="noConversion"/>
  </si>
  <si>
    <t>④ 기타 불안전한 상태 및 행동</t>
    <phoneticPr fontId="13" type="noConversion"/>
  </si>
  <si>
    <t>③ 동바리(시스템 포함)벽에 기대어 보관(미고정 상태)</t>
    <phoneticPr fontId="13" type="noConversion"/>
  </si>
  <si>
    <t>① 안정구배 확보, 사면보호 및 덮개 설치</t>
    <phoneticPr fontId="13" type="noConversion"/>
  </si>
  <si>
    <t>② 굴착구간 난간설치 및 통제구역 설정</t>
    <phoneticPr fontId="8" type="noConversion"/>
  </si>
  <si>
    <t>③ 굴착구간 토사 적치시 최초 50cm 이상 이격 적치</t>
    <phoneticPr fontId="13" type="noConversion"/>
  </si>
  <si>
    <t>④ 배수로 관리 및 집수정 안전시설물 철치상태</t>
    <phoneticPr fontId="13" type="noConversion"/>
  </si>
  <si>
    <t>⑤ 깊이 1.5m 이상 트렌치 굴착시 가시설 또는 법면준수 상태</t>
    <phoneticPr fontId="13" type="noConversion"/>
  </si>
  <si>
    <t>① 배면토사 충진 및 토사유출 방지 상태</t>
    <phoneticPr fontId="13" type="noConversion"/>
  </si>
  <si>
    <t>③ 용접 및 볼팅 상태, 토류판 연결 및 파손 상태</t>
    <phoneticPr fontId="13" type="noConversion"/>
  </si>
  <si>
    <t>④ 기타 불안전한 상태 및 행동</t>
    <phoneticPr fontId="13" type="noConversion"/>
  </si>
  <si>
    <t>① 시건조치, 접지, 촉수방지판, 회로도 표지 상태</t>
    <phoneticPr fontId="13" type="noConversion"/>
  </si>
  <si>
    <t>② 분전반 관리 정/부 상태</t>
    <phoneticPr fontId="13" type="noConversion"/>
  </si>
  <si>
    <t>③ 낙하물 예방을 위한 방호선반 설치 및 분전반 고정 상태</t>
    <phoneticPr fontId="11" type="noConversion"/>
  </si>
  <si>
    <t>④ 누전차단기 작동 및 콘센트 접지극 상태</t>
    <phoneticPr fontId="11" type="noConversion"/>
  </si>
  <si>
    <t>① 가설전선 거치 여부</t>
    <phoneticPr fontId="13" type="noConversion"/>
  </si>
  <si>
    <t>② 가설전선의 절연 및 접지극 손상 여부(플러그, 콘센트 포함)</t>
    <phoneticPr fontId="11" type="noConversion"/>
  </si>
  <si>
    <t>① 콘센트/플러그의 접지 및 절연 상태</t>
    <phoneticPr fontId="13" type="noConversion"/>
  </si>
  <si>
    <t>① 자동전격방지기 부착 및 충전부 절연조치 상태</t>
    <phoneticPr fontId="13" type="noConversion"/>
  </si>
  <si>
    <t>② 용접 어스선 및 어스, 집게 이상유무</t>
    <phoneticPr fontId="8" type="noConversion"/>
  </si>
  <si>
    <t>③ 보안면,용접토시,용접앞치마등 보호구 착용 상태</t>
    <phoneticPr fontId="13" type="noConversion"/>
  </si>
  <si>
    <t>④ 불티비산방지조치 및 소화기 비치 상태</t>
    <phoneticPr fontId="13" type="noConversion"/>
  </si>
  <si>
    <t>③ 화기작업 하부 인화성, 가연성 물질 보관시 방염포 보양 상태
    (스치로풀, 청탑지, 페인트, 신너 등)</t>
    <phoneticPr fontId="13" type="noConversion"/>
  </si>
  <si>
    <t>④ 밀폐된 공간(3면)에서 화기작업 진행시 사전 가연성가스 체크</t>
    <phoneticPr fontId="13" type="noConversion"/>
  </si>
  <si>
    <r>
      <t>⑤ 당사 및 협력업체 컨테이너 월단위 화재예방점검 실시여부
   (</t>
    </r>
    <r>
      <rPr>
        <sz val="9"/>
        <color indexed="8"/>
        <rFont val="맑은 고딕"/>
        <family val="3"/>
        <charset val="129"/>
      </rPr>
      <t>누전차단기, 화재감시창, 문어발식 콘센트, 미승인 전기제품 등)</t>
    </r>
    <phoneticPr fontId="13" type="noConversion"/>
  </si>
  <si>
    <t>⑥ 비상대피로 및 유도등 설치 상태</t>
    <phoneticPr fontId="13" type="noConversion"/>
  </si>
  <si>
    <t>① 화기작업장 11m 이내 인화성, 가연성 물질 보관 여부</t>
    <phoneticPr fontId="13" type="noConversion"/>
  </si>
  <si>
    <t>② 불티비산 방지조치(3~4면)실시 및 화재감시자 상주</t>
    <phoneticPr fontId="13" type="noConversion"/>
  </si>
  <si>
    <t>⑦ 위험물저장소 물질보관 및 MSDS, 소화기등 관리상태</t>
    <phoneticPr fontId="11" type="noConversion"/>
  </si>
  <si>
    <t>⑧ 고압가스 용기 역화방지기 부착, 게이지 파손 상태,  
    전용운반구 사용, 전도방지 조치, 호스관리 상태</t>
    <phoneticPr fontId="11" type="noConversion"/>
  </si>
  <si>
    <t>⑨ 화기작업 허가서 게시 및 승인된 작업장소 여부</t>
    <phoneticPr fontId="13" type="noConversion"/>
  </si>
  <si>
    <t>① 밀폐공간 작업 프로그램 수립 및 게시</t>
    <phoneticPr fontId="13" type="noConversion"/>
  </si>
  <si>
    <t>② 밀폐작업 허가서 게시 및 승인된 작업장소 여부
   (특별교육, 비상상황 훈련 및 교육 여부)</t>
    <phoneticPr fontId="8" type="noConversion"/>
  </si>
  <si>
    <t xml:space="preserve">③ 밀폐작업 주변 안전표지(밀폐작업 공간 등)게시 </t>
    <phoneticPr fontId="8" type="noConversion"/>
  </si>
  <si>
    <t>④ 밀폐작업 인원 입,출 관리 및 감시자 또는 관리자 상주</t>
    <phoneticPr fontId="13" type="noConversion"/>
  </si>
  <si>
    <t>⑤ 산소 및 유해가스 측정기록 관리</t>
    <phoneticPr fontId="13" type="noConversion"/>
  </si>
  <si>
    <t>⑥ 밀폐공간 작업자와 연락체계 수립 및 관리 상태</t>
    <phoneticPr fontId="13" type="noConversion"/>
  </si>
  <si>
    <t>⑦ 작업 종료후 밀폐공간 출입폐쇄 관리 상태(관리자 정/부 지정)</t>
    <phoneticPr fontId="13" type="noConversion"/>
  </si>
  <si>
    <t>⑧ 기타 불안전한 상태 및 행동</t>
    <phoneticPr fontId="13" type="noConversion"/>
  </si>
  <si>
    <t>① 철근 절단기, 절곡기, T/L Foot Switch 덮개 설치 상태</t>
    <phoneticPr fontId="13" type="noConversion"/>
  </si>
  <si>
    <t>② 비상정지 스위치 설치 및 관리상태</t>
    <phoneticPr fontId="11" type="noConversion"/>
  </si>
  <si>
    <t>③ Table Lift 과상승방지봉 60cm 이상 유지</t>
    <phoneticPr fontId="8" type="noConversion"/>
  </si>
  <si>
    <t>④ 전기 및 소화기, 기타 공도구 월 점검 상태</t>
    <phoneticPr fontId="8" type="noConversion"/>
  </si>
  <si>
    <t>⑤ 공도구 방호덮개 및 안전커버 부착 관리 상태</t>
    <phoneticPr fontId="8" type="noConversion"/>
  </si>
  <si>
    <t>③ 수직통로의 가설계단 또는 승강사다리 설치의 적정성 여부,
    최대적재 하중 표기 및 자재방치 여부</t>
    <phoneticPr fontId="13" type="noConversion"/>
  </si>
  <si>
    <t>③ 항타기 리더 보조로프 설치여부 및 롤립 비치여부
    철판사용시 적정 간격유지,지반 유지 상태</t>
    <phoneticPr fontId="13" type="noConversion"/>
  </si>
  <si>
    <t>안전관리자 (20점)</t>
    <phoneticPr fontId="8" type="noConversion"/>
  </si>
  <si>
    <t>관리감독자 (20점)</t>
    <phoneticPr fontId="8" type="noConversion"/>
  </si>
  <si>
    <t>보정 계수</t>
    <phoneticPr fontId="8" type="noConversion"/>
  </si>
  <si>
    <t>월 공정률 보정</t>
    <phoneticPr fontId="8" type="noConversion"/>
  </si>
  <si>
    <t>주 위험공종 진행</t>
    <phoneticPr fontId="8" type="noConversion"/>
  </si>
  <si>
    <t>점 검 자</t>
    <phoneticPr fontId="8" type="noConversion"/>
  </si>
  <si>
    <t>현장소장 및 안전관리자</t>
    <phoneticPr fontId="8" type="noConversion"/>
  </si>
  <si>
    <t>주요 작업</t>
    <phoneticPr fontId="8" type="noConversion"/>
  </si>
  <si>
    <t>1) 최초/정기/수시 위험성평가 승인(위험등급 결정 포함)
2) 도급사업 합동점검 주관 및 결과 검토, 승인
3) 작업장 순회점검 2일에 1회 이상 실시 또는 결과 검토, 승인
4) 순회점검 후 개선사항에 대한 강평내용 전파 및 기재 지시
5) 유해위험요인 발굴사항에 대한 개선 지시 및 개선결과 검토, 승인
6) 현장소장 중심 주1회 안전점검 실시</t>
    <phoneticPr fontId="8" type="noConversion"/>
  </si>
  <si>
    <t xml:space="preserve"> </t>
    <phoneticPr fontId="8" type="noConversion"/>
  </si>
  <si>
    <r>
      <t>1) 산업안전보건관리비 월별 사용내역 작성 및 승인관리
2) 안전관계자</t>
    </r>
    <r>
      <rPr>
        <sz val="9"/>
        <color rgb="FFFF0000"/>
        <rFont val="맑은 고딕"/>
        <family val="3"/>
        <charset val="129"/>
      </rPr>
      <t>(감시단, 용역등 1,2번 항목)</t>
    </r>
    <r>
      <rPr>
        <sz val="9"/>
        <color rgb="FF000000"/>
        <rFont val="맑은 고딕"/>
        <family val="3"/>
        <charset val="129"/>
      </rPr>
      <t>출력 및 안전근무 일지 검토
3) 월 구입 신청 및 세금계산서, 최종거래명세서 일치 검토
4) 시설물 및 용품 구입 사진과 기성내역, 거래명세서 일치 검토</t>
    </r>
    <phoneticPr fontId="8" type="noConversion"/>
  </si>
  <si>
    <t>2026-06-10 ~ 06-11</t>
    <phoneticPr fontId="8" type="noConversion"/>
  </si>
  <si>
    <t>1~5%(1)</t>
  </si>
  <si>
    <t>1) 도급사업 합동점검 계획수립 및 점검결과 승인 관리
2) 도급사업 합동점검 2개월 이내마다 1회 실시
3) 작업장 순회점검 2일에 1회 이상 실시 및 결과 승인 관리
4) 유해위험요인 발굴사항에 대한 개선 지시 및 개선결과 관리
5) 일일 당직자 점검 및 순회점검 결과가 도급사업 합동점검 결과와 연계
6) 현장소장 중심 주1회 안전점검 실시결과 취합 및 관리</t>
    <phoneticPr fontId="8" type="noConversion"/>
  </si>
  <si>
    <t>N/A</t>
  </si>
  <si>
    <t xml:space="preserve">1) 근로자 작업중지권 및 진행절차 수립, 승인 관리(안전보건관리규정)
2) 작업중지권 관련 내용 구성원 교육 및 현장내 홍보(현수막, 베너 등)
3) 작업중지권 이력관리
4) 작업중지권 사용시 작업재개를 위한 노사 합동점검 구성, 작업재개 
   승인 관리 </t>
    <phoneticPr fontId="8" type="noConversion"/>
  </si>
  <si>
    <t>1) 연간 안전보건 교육 운영계획 검토 및 승인
2) 관리자 정기안전교육 실시 검토 및 승인
3) 외국인력 신규/특별교육 실시 검토
4) 일일(수시)위험성평가에 대한 근로자 전파교육 진행 검토
5) 법적 선임인력 최초, 보수 교육 이수 검토 및 승인</t>
    <phoneticPr fontId="8" type="noConversion"/>
  </si>
  <si>
    <t>시 훈 소장, 김원기 안전차장</t>
    <phoneticPr fontId="8" type="noConversion"/>
  </si>
  <si>
    <t>현태완 부장, 최우람 과장</t>
    <phoneticPr fontId="8" type="noConversion"/>
  </si>
  <si>
    <t>식당동 벽체 거푸집 설치 시 각재로 발판 사용</t>
    <phoneticPr fontId="8" type="noConversion"/>
  </si>
  <si>
    <t>신규 생산동 개구부 안전난간대 미설치</t>
    <phoneticPr fontId="11" type="noConversion"/>
  </si>
  <si>
    <t>거푸집&amp;동바리(1.01)</t>
  </si>
  <si>
    <t>현장 안전보건관리규정 
근로자대표 서명 누락</t>
    <phoneticPr fontId="8" type="noConversion"/>
  </si>
  <si>
    <t>제주 삼다수 스마트팩토리 건립공사</t>
    <phoneticPr fontId="8" type="noConversion"/>
  </si>
  <si>
    <t>밀폐공간 작업 프로그램 미수립</t>
    <phoneticPr fontId="8" type="noConversion"/>
  </si>
  <si>
    <t>1) 최초/정기 위험성평가 협력사 작성 및 내용 검토, 보완
   - 공사 시작전 작성, 진행예정 작업에 대한 평가 (정기평가 : 1년마다)
2) 위험요인의 감소대책 적절성 검토(위험요인→알맞은 감소대책) 
3) 근로자 대표 참여 관리
4) 고 위험작업 및 취약시기 작업에 대한 위험요인, 안전대책 포함</t>
    <phoneticPr fontId="8" type="noConversion"/>
  </si>
  <si>
    <t>1) 수시 위험성평가 감소대책 적절성 검토(위험요인→알맞은 감소대책) 
2) 예정 작업이 위험성평가에 반영되었는지 검토
3) 근로자 대표 참여 관리
4) 유해위험요인 발굴사항에 대한 개선 및 개선결과 공유
5) 고 위험작업 및 취약시기 작업내용 반영 및 안전대책 기재
6) 일일 당직자 안전점검 진행 및 점검결과 피드백 관리</t>
    <phoneticPr fontId="8" type="noConversion"/>
  </si>
  <si>
    <t>일일안전당직자
 순회점검 실시 필요</t>
    <phoneticPr fontId="8" type="noConversion"/>
  </si>
  <si>
    <t>유소견자 관리 
리스트 작성</t>
    <phoneticPr fontId="8" type="noConversion"/>
  </si>
  <si>
    <t>신규 생산동 내부 사토 정리
물탱크실, 공장동 콘크리트 타설
식당동 PIT 벽체 방수</t>
    <phoneticPr fontId="8" type="noConversion"/>
  </si>
  <si>
    <t>□ 점검 결과</t>
    <phoneticPr fontId="8" type="noConversion"/>
  </si>
  <si>
    <t>2025-12-08 ~ 2027-07-30</t>
    <phoneticPr fontId="8" type="noConversion"/>
  </si>
  <si>
    <t>산업안전보건관리비 
항목별 사용 내역 중 
협력사 안전관리비 세부내역 기재 필요</t>
    <phoneticPr fontId="8" type="noConversion"/>
  </si>
  <si>
    <t>야간작업 인수인계서내 당직자 서명관리 누락</t>
    <phoneticPr fontId="8" type="noConversion"/>
  </si>
  <si>
    <t>안전보건관리책임자 선임계 작성 미흡(산업안전보건법 15조 직무내용 미반영)</t>
    <phoneticPr fontId="8" type="noConversion"/>
  </si>
  <si>
    <t xml:space="preserve">산업안전보건관리비 9번 항목(위험성평가 등)사용시 위험성평가 반영필요 </t>
    <phoneticPr fontId="8" type="noConversion"/>
  </si>
  <si>
    <t>노사협의체회의 심의.의결사항/ 안전보건 협의 사항 내용 불일치</t>
    <phoneticPr fontId="8" type="noConversion"/>
  </si>
  <si>
    <t>작업허가서 검토의견
작성 필요</t>
    <phoneticPr fontId="8" type="noConversion"/>
  </si>
  <si>
    <t xml:space="preserve">식당동 테이블쏘 연결 작업선 피복 노출 (재연결 또는 절연테잎 사용 절연조치)
</t>
    <phoneticPr fontId="8" type="noConversion"/>
  </si>
  <si>
    <t>신규 생산동 계단 안전난간대 미설치
 (계단 및 단부 난간)</t>
    <phoneticPr fontId="11" type="noConversion"/>
  </si>
  <si>
    <t>신규 생산동 가설계단 앞 이동통로 확보 필요 
(적재된 철근자재 이동 要)</t>
    <phoneticPr fontId="11" type="noConversion"/>
  </si>
  <si>
    <t>식당동 크레인 장비 주변 구획설정 및 통제 미흡</t>
    <phoneticPr fontId="8" type="noConversion"/>
  </si>
  <si>
    <t>신규 생산동 내/외부 이동통로 설치 필요</t>
    <phoneticPr fontId="8" type="noConversion"/>
  </si>
</sst>
</file>

<file path=xl/styles.xml><?xml version="1.0" encoding="utf-8"?>
<styleSheet xmlns="http://schemas.openxmlformats.org/spreadsheetml/2006/main">
  <numFmts count="9">
    <numFmt numFmtId="41" formatCode="_-* #,##0_-;\-* #,##0_-;_-* &quot;-&quot;_-;_-@_-"/>
    <numFmt numFmtId="176" formatCode="#,##0_);[Red]\(#,##0\)"/>
    <numFmt numFmtId="177" formatCode="[=0]&quot; &quot;;General"/>
    <numFmt numFmtId="178" formatCode="#,##0.0_);[Red]\(#,##0.0\)"/>
    <numFmt numFmtId="179" formatCode="0.0%"/>
    <numFmt numFmtId="180" formatCode="0.0_ "/>
    <numFmt numFmtId="181" formatCode="0.00_ "/>
    <numFmt numFmtId="182" formatCode="0.000_ "/>
    <numFmt numFmtId="183" formatCode="0_ "/>
  </numFmts>
  <fonts count="63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3"/>
      <color theme="1"/>
      <name val="굴림"/>
      <family val="3"/>
      <charset val="129"/>
    </font>
    <font>
      <sz val="11"/>
      <color theme="1"/>
      <name val="굴림"/>
      <family val="3"/>
      <charset val="129"/>
    </font>
    <font>
      <sz val="10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b/>
      <sz val="12"/>
      <color theme="1"/>
      <name val="굴림"/>
      <family val="3"/>
      <charset val="129"/>
    </font>
    <font>
      <b/>
      <sz val="10"/>
      <color theme="1"/>
      <name val="굴림"/>
      <family val="3"/>
      <charset val="129"/>
    </font>
    <font>
      <sz val="8"/>
      <name val="Arial"/>
      <family val="3"/>
      <charset val="129"/>
      <scheme val="minor"/>
    </font>
    <font>
      <sz val="10"/>
      <name val="굴림"/>
      <family val="3"/>
      <charset val="129"/>
    </font>
    <font>
      <sz val="9"/>
      <name val="굴림"/>
      <family val="3"/>
      <charset val="129"/>
    </font>
    <font>
      <sz val="8"/>
      <name val="굴림체"/>
      <family val="3"/>
      <charset val="129"/>
    </font>
    <font>
      <sz val="11"/>
      <name val="굴림"/>
      <family val="3"/>
      <charset val="129"/>
    </font>
    <font>
      <sz val="8"/>
      <name val="돋움"/>
      <family val="3"/>
      <charset val="129"/>
    </font>
    <font>
      <sz val="9"/>
      <name val="맑은 고딕"/>
      <family val="3"/>
      <charset val="129"/>
    </font>
    <font>
      <b/>
      <sz val="9"/>
      <name val="맑은 고딕"/>
      <family val="3"/>
      <charset val="129"/>
    </font>
    <font>
      <sz val="9"/>
      <color indexed="8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color rgb="FF000000"/>
      <name val="굴림"/>
      <family val="3"/>
      <charset val="129"/>
    </font>
    <font>
      <b/>
      <sz val="11"/>
      <color rgb="FF000000"/>
      <name val="굴림"/>
      <family val="3"/>
      <charset val="129"/>
    </font>
    <font>
      <sz val="11"/>
      <color rgb="FF000000"/>
      <name val="굴림"/>
      <family val="3"/>
      <charset val="129"/>
    </font>
    <font>
      <sz val="10"/>
      <color rgb="FF000000"/>
      <name val="Arial"/>
      <family val="3"/>
      <charset val="129"/>
      <scheme val="minor"/>
    </font>
    <font>
      <sz val="12"/>
      <color rgb="FF000000"/>
      <name val="Arial"/>
      <family val="2"/>
      <scheme val="minor"/>
    </font>
    <font>
      <sz val="12"/>
      <color rgb="FF000000"/>
      <name val="굴림"/>
      <family val="3"/>
      <charset val="129"/>
    </font>
    <font>
      <b/>
      <sz val="12"/>
      <color rgb="FF000000"/>
      <name val="굴림"/>
      <family val="3"/>
      <charset val="129"/>
    </font>
    <font>
      <sz val="12"/>
      <name val="굴림"/>
      <family val="3"/>
      <charset val="129"/>
    </font>
    <font>
      <sz val="12"/>
      <color theme="1"/>
      <name val="굴림"/>
      <family val="3"/>
      <charset val="129"/>
    </font>
    <font>
      <b/>
      <sz val="12"/>
      <color theme="1" tint="0.249977111117893"/>
      <name val="굴림"/>
      <family val="3"/>
      <charset val="129"/>
    </font>
    <font>
      <sz val="12"/>
      <color theme="1" tint="0.249977111117893"/>
      <name val="굴림"/>
      <family val="3"/>
      <charset val="129"/>
    </font>
    <font>
      <b/>
      <sz val="12"/>
      <name val="굴림"/>
      <family val="3"/>
      <charset val="129"/>
    </font>
    <font>
      <sz val="12"/>
      <name val="Noto Sans CJK KR Regular"/>
      <family val="2"/>
      <charset val="129"/>
    </font>
    <font>
      <sz val="12"/>
      <name val="Noto Sans CJK KR Regular"/>
      <family val="2"/>
      <charset val="128"/>
    </font>
    <font>
      <b/>
      <sz val="16"/>
      <color rgb="FF000000"/>
      <name val="굴림"/>
      <family val="3"/>
      <charset val="129"/>
    </font>
    <font>
      <sz val="16"/>
      <color rgb="FF000000"/>
      <name val="Arial"/>
      <family val="2"/>
      <scheme val="minor"/>
    </font>
    <font>
      <b/>
      <sz val="36"/>
      <color theme="1"/>
      <name val="굴림"/>
      <family val="3"/>
      <charset val="129"/>
    </font>
    <font>
      <sz val="36"/>
      <color rgb="FF000000"/>
      <name val="Arial"/>
      <family val="2"/>
      <scheme val="minor"/>
    </font>
    <font>
      <sz val="36"/>
      <name val="Arial"/>
      <family val="2"/>
    </font>
    <font>
      <b/>
      <sz val="18"/>
      <color theme="1"/>
      <name val="&quot;맑은 고딕&quot;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1"/>
      <color rgb="FF000000"/>
      <name val="Arial"/>
      <family val="2"/>
      <scheme val="minor"/>
    </font>
    <font>
      <b/>
      <sz val="16"/>
      <name val="맑은 고딕"/>
      <family val="3"/>
      <charset val="129"/>
    </font>
    <font>
      <sz val="8"/>
      <name val="맑은 고딕"/>
      <family val="3"/>
      <charset val="129"/>
    </font>
    <font>
      <b/>
      <sz val="8"/>
      <color rgb="FFFF0000"/>
      <name val="맑은 고딕"/>
      <family val="3"/>
      <charset val="129"/>
    </font>
    <font>
      <sz val="8"/>
      <color rgb="FFFF0000"/>
      <name val="맑은 고딕"/>
      <family val="3"/>
      <charset val="129"/>
    </font>
    <font>
      <sz val="8"/>
      <color theme="1"/>
      <name val="맑은 고딕"/>
      <family val="3"/>
      <charset val="129"/>
    </font>
    <font>
      <i/>
      <sz val="8"/>
      <name val="맑은 고딕"/>
      <family val="3"/>
      <charset val="129"/>
    </font>
    <font>
      <sz val="10"/>
      <name val="Arial"/>
      <family val="2"/>
      <scheme val="minor"/>
    </font>
    <font>
      <sz val="8"/>
      <color indexed="81"/>
      <name val="돋움"/>
      <family val="3"/>
      <charset val="129"/>
    </font>
    <font>
      <sz val="8"/>
      <color indexed="81"/>
      <name val="Tahoma"/>
      <family val="2"/>
    </font>
    <font>
      <sz val="8"/>
      <color indexed="81"/>
      <name val="맑은 고딕"/>
      <family val="3"/>
      <charset val="129"/>
    </font>
    <font>
      <sz val="10.5"/>
      <color rgb="FF000000"/>
      <name val="굴림"/>
      <family val="3"/>
      <charset val="129"/>
    </font>
    <font>
      <sz val="10.5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9"/>
      <color rgb="FFFF0000"/>
      <name val="맑은 고딕"/>
      <family val="3"/>
      <charset val="129"/>
    </font>
    <font>
      <sz val="10"/>
      <color rgb="FF000000"/>
      <name val="Arial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BEEF3"/>
        <bgColor rgb="FFDBEEF3"/>
      </patternFill>
    </fill>
    <fill>
      <patternFill patternType="solid">
        <fgColor rgb="FFCCFFCC"/>
        <bgColor rgb="FFCCFFCC"/>
      </patternFill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rgb="FFDBEEF3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</fills>
  <borders count="40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9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</cellStyleXfs>
  <cellXfs count="243">
    <xf numFmtId="0" fontId="0" fillId="0" borderId="0" xfId="0"/>
    <xf numFmtId="0" fontId="3" fillId="2" borderId="3" xfId="0" applyFont="1" applyFill="1" applyBorder="1" applyAlignment="1">
      <alignment horizontal="center"/>
    </xf>
    <xf numFmtId="0" fontId="4" fillId="2" borderId="15" xfId="0" applyFont="1" applyFill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0" fillId="0" borderId="0" xfId="1" applyFont="1">
      <alignment vertical="center"/>
    </xf>
    <xf numFmtId="0" fontId="31" fillId="0" borderId="0" xfId="0" applyFont="1"/>
    <xf numFmtId="0" fontId="32" fillId="0" borderId="0" xfId="0" applyFont="1"/>
    <xf numFmtId="0" fontId="22" fillId="0" borderId="0" xfId="0" applyFont="1" applyAlignment="1">
      <alignment horizontal="center"/>
    </xf>
    <xf numFmtId="0" fontId="14" fillId="0" borderId="31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22" fillId="0" borderId="0" xfId="0" applyFont="1"/>
    <xf numFmtId="0" fontId="43" fillId="0" borderId="17" xfId="0" applyFont="1" applyBorder="1" applyAlignment="1">
      <alignment horizontal="center" vertical="center"/>
    </xf>
    <xf numFmtId="0" fontId="39" fillId="0" borderId="0" xfId="0" applyFont="1" applyAlignment="1">
      <alignment horizontal="left" vertical="center"/>
    </xf>
    <xf numFmtId="0" fontId="44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39" fillId="0" borderId="20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181" fontId="45" fillId="14" borderId="38" xfId="0" applyNumberFormat="1" applyFont="1" applyFill="1" applyBorder="1" applyAlignment="1">
      <alignment horizontal="center" vertical="center"/>
    </xf>
    <xf numFmtId="0" fontId="14" fillId="5" borderId="0" xfId="1" applyFont="1" applyFill="1">
      <alignment vertical="center"/>
    </xf>
    <xf numFmtId="0" fontId="14" fillId="0" borderId="0" xfId="1" applyFont="1">
      <alignment vertical="center"/>
    </xf>
    <xf numFmtId="0" fontId="14" fillId="5" borderId="16" xfId="1" applyFont="1" applyFill="1" applyBorder="1">
      <alignment vertical="center"/>
    </xf>
    <xf numFmtId="0" fontId="14" fillId="0" borderId="16" xfId="1" applyFont="1" applyBorder="1">
      <alignment vertical="center"/>
    </xf>
    <xf numFmtId="0" fontId="15" fillId="7" borderId="16" xfId="1" applyFont="1" applyFill="1" applyBorder="1" applyAlignment="1">
      <alignment horizontal="center" vertical="center"/>
    </xf>
    <xf numFmtId="0" fontId="14" fillId="0" borderId="16" xfId="2" applyFont="1" applyBorder="1" applyAlignment="1">
      <alignment horizontal="left" vertical="center" wrapText="1" indent="1"/>
    </xf>
    <xf numFmtId="177" fontId="48" fillId="0" borderId="16" xfId="3" applyNumberFormat="1" applyFont="1" applyFill="1" applyBorder="1" applyAlignment="1">
      <alignment horizontal="center" vertical="center" shrinkToFit="1"/>
    </xf>
    <xf numFmtId="0" fontId="48" fillId="0" borderId="16" xfId="1" applyFont="1" applyBorder="1" applyAlignment="1">
      <alignment horizontal="left" vertical="center" shrinkToFit="1"/>
    </xf>
    <xf numFmtId="0" fontId="14" fillId="5" borderId="16" xfId="2" applyFont="1" applyFill="1" applyBorder="1" applyAlignment="1">
      <alignment horizontal="left" vertical="center" wrapText="1" indent="1"/>
    </xf>
    <xf numFmtId="0" fontId="48" fillId="0" borderId="16" xfId="1" applyFont="1" applyBorder="1" applyAlignment="1">
      <alignment horizontal="left" vertical="center" wrapText="1" shrinkToFit="1"/>
    </xf>
    <xf numFmtId="0" fontId="17" fillId="5" borderId="16" xfId="2" applyFont="1" applyFill="1" applyBorder="1" applyAlignment="1">
      <alignment horizontal="left" vertical="center" wrapText="1" indent="1"/>
    </xf>
    <xf numFmtId="0" fontId="49" fillId="0" borderId="16" xfId="1" applyFont="1" applyBorder="1" applyAlignment="1">
      <alignment horizontal="left" vertical="center" shrinkToFit="1"/>
    </xf>
    <xf numFmtId="0" fontId="50" fillId="0" borderId="16" xfId="1" applyFont="1" applyBorder="1" applyAlignment="1">
      <alignment horizontal="left" vertical="center" shrinkToFit="1"/>
    </xf>
    <xf numFmtId="0" fontId="17" fillId="0" borderId="16" xfId="2" applyFont="1" applyBorder="1" applyAlignment="1">
      <alignment horizontal="left" vertical="center" wrapText="1" indent="1"/>
    </xf>
    <xf numFmtId="0" fontId="51" fillId="0" borderId="16" xfId="1" applyFont="1" applyBorder="1" applyAlignment="1">
      <alignment horizontal="left" vertical="center" wrapText="1" shrinkToFit="1"/>
    </xf>
    <xf numFmtId="0" fontId="51" fillId="0" borderId="16" xfId="1" applyFont="1" applyBorder="1" applyAlignment="1">
      <alignment horizontal="left" vertical="center" shrinkToFit="1"/>
    </xf>
    <xf numFmtId="0" fontId="18" fillId="0" borderId="16" xfId="2" applyFont="1" applyBorder="1" applyAlignment="1">
      <alignment horizontal="left" vertical="center" wrapText="1"/>
    </xf>
    <xf numFmtId="0" fontId="52" fillId="0" borderId="16" xfId="1" applyFont="1" applyBorder="1" applyAlignment="1">
      <alignment horizontal="left" vertical="center" shrinkToFit="1"/>
    </xf>
    <xf numFmtId="0" fontId="48" fillId="0" borderId="16" xfId="1" applyFont="1" applyBorder="1" applyAlignment="1">
      <alignment horizontal="left" vertical="center" wrapText="1"/>
    </xf>
    <xf numFmtId="0" fontId="48" fillId="0" borderId="16" xfId="1" applyFont="1" applyBorder="1" applyAlignment="1">
      <alignment vertical="center" shrinkToFit="1"/>
    </xf>
    <xf numFmtId="0" fontId="17" fillId="8" borderId="16" xfId="2" applyFont="1" applyFill="1" applyBorder="1" applyAlignment="1">
      <alignment horizontal="left" vertical="center" wrapText="1" indent="1"/>
    </xf>
    <xf numFmtId="0" fontId="50" fillId="0" borderId="16" xfId="1" applyFont="1" applyBorder="1" applyAlignment="1">
      <alignment vertical="center" shrinkToFit="1"/>
    </xf>
    <xf numFmtId="0" fontId="14" fillId="8" borderId="16" xfId="2" applyFont="1" applyFill="1" applyBorder="1" applyAlignment="1">
      <alignment horizontal="left" vertical="center" wrapText="1" indent="1"/>
    </xf>
    <xf numFmtId="178" fontId="48" fillId="0" borderId="16" xfId="1" applyNumberFormat="1" applyFont="1" applyBorder="1" applyAlignment="1">
      <alignment vertical="center" shrinkToFit="1"/>
    </xf>
    <xf numFmtId="176" fontId="14" fillId="9" borderId="16" xfId="1" applyNumberFormat="1" applyFont="1" applyFill="1" applyBorder="1" applyAlignment="1">
      <alignment vertical="center" shrinkToFit="1"/>
    </xf>
    <xf numFmtId="0" fontId="19" fillId="0" borderId="0" xfId="0" applyFont="1" applyAlignment="1">
      <alignment horizontal="center" vertical="center"/>
    </xf>
    <xf numFmtId="0" fontId="25" fillId="13" borderId="17" xfId="0" applyFont="1" applyFill="1" applyBorder="1" applyAlignment="1">
      <alignment horizontal="center" vertical="center"/>
    </xf>
    <xf numFmtId="0" fontId="25" fillId="13" borderId="19" xfId="0" applyFont="1" applyFill="1" applyBorder="1" applyAlignment="1">
      <alignment horizontal="center" vertical="center"/>
    </xf>
    <xf numFmtId="177" fontId="14" fillId="9" borderId="16" xfId="4" applyNumberFormat="1" applyFont="1" applyFill="1" applyBorder="1" applyAlignment="1">
      <alignment horizontal="center" vertical="center" shrinkToFit="1"/>
    </xf>
    <xf numFmtId="177" fontId="14" fillId="9" borderId="16" xfId="1" applyNumberFormat="1" applyFont="1" applyFill="1" applyBorder="1" applyAlignment="1">
      <alignment horizontal="center" vertical="center" shrinkToFit="1"/>
    </xf>
    <xf numFmtId="183" fontId="15" fillId="7" borderId="16" xfId="1" applyNumberFormat="1" applyFont="1" applyFill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5" fillId="13" borderId="16" xfId="0" applyFont="1" applyFill="1" applyBorder="1" applyAlignment="1">
      <alignment horizontal="center" vertical="center"/>
    </xf>
    <xf numFmtId="181" fontId="21" fillId="0" borderId="16" xfId="0" applyNumberFormat="1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60" fillId="0" borderId="0" xfId="0" applyFont="1"/>
    <xf numFmtId="41" fontId="0" fillId="0" borderId="0" xfId="5" applyFont="1" applyAlignment="1"/>
    <xf numFmtId="0" fontId="48" fillId="0" borderId="16" xfId="2" applyFont="1" applyBorder="1" applyAlignment="1">
      <alignment horizontal="left" vertical="center" wrapText="1"/>
    </xf>
    <xf numFmtId="0" fontId="7" fillId="2" borderId="10" xfId="0" applyFont="1" applyFill="1" applyBorder="1" applyAlignment="1">
      <alignment horizontal="right" vertical="center"/>
    </xf>
    <xf numFmtId="0" fontId="48" fillId="0" borderId="16" xfId="1" applyFont="1" applyFill="1" applyBorder="1" applyAlignment="1">
      <alignment horizontal="left" vertical="center" shrinkToFit="1"/>
    </xf>
    <xf numFmtId="0" fontId="25" fillId="11" borderId="16" xfId="0" applyFont="1" applyFill="1" applyBorder="1" applyAlignment="1">
      <alignment horizontal="center" vertical="center"/>
    </xf>
    <xf numFmtId="0" fontId="59" fillId="11" borderId="16" xfId="0" applyFont="1" applyFill="1" applyBorder="1" applyAlignment="1">
      <alignment horizontal="center" vertical="center"/>
    </xf>
    <xf numFmtId="0" fontId="6" fillId="2" borderId="33" xfId="0" applyFont="1" applyFill="1" applyBorder="1" applyAlignment="1">
      <alignment vertical="center"/>
    </xf>
    <xf numFmtId="0" fontId="0" fillId="0" borderId="33" xfId="0" applyBorder="1"/>
    <xf numFmtId="0" fontId="21" fillId="0" borderId="16" xfId="0" applyFont="1" applyBorder="1" applyAlignment="1">
      <alignment horizontal="center" vertical="center"/>
    </xf>
    <xf numFmtId="0" fontId="46" fillId="0" borderId="16" xfId="0" applyFont="1" applyBorder="1" applyAlignment="1">
      <alignment horizontal="center" vertical="center"/>
    </xf>
    <xf numFmtId="0" fontId="57" fillId="0" borderId="24" xfId="0" applyFont="1" applyBorder="1" applyAlignment="1">
      <alignment horizontal="center" vertical="center"/>
    </xf>
    <xf numFmtId="0" fontId="58" fillId="0" borderId="21" xfId="0" applyFont="1" applyBorder="1"/>
    <xf numFmtId="0" fontId="25" fillId="13" borderId="8" xfId="0" applyFont="1" applyFill="1" applyBorder="1" applyAlignment="1">
      <alignment horizontal="center" vertical="center"/>
    </xf>
    <xf numFmtId="0" fontId="0" fillId="0" borderId="8" xfId="0" applyBorder="1"/>
    <xf numFmtId="0" fontId="21" fillId="0" borderId="6" xfId="0" applyFont="1" applyBorder="1" applyAlignment="1">
      <alignment horizontal="center" vertical="center"/>
    </xf>
    <xf numFmtId="0" fontId="46" fillId="0" borderId="7" xfId="0" applyFont="1" applyBorder="1"/>
    <xf numFmtId="0" fontId="25" fillId="13" borderId="6" xfId="0" applyFont="1" applyFill="1" applyBorder="1" applyAlignment="1">
      <alignment horizontal="center" vertical="center"/>
    </xf>
    <xf numFmtId="0" fontId="57" fillId="0" borderId="6" xfId="0" applyFont="1" applyBorder="1" applyAlignment="1">
      <alignment horizontal="center" vertical="center"/>
    </xf>
    <xf numFmtId="0" fontId="58" fillId="0" borderId="8" xfId="0" applyFont="1" applyBorder="1"/>
    <xf numFmtId="0" fontId="24" fillId="0" borderId="39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5" fillId="13" borderId="17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30" fillId="11" borderId="6" xfId="0" applyFont="1" applyFill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3" fillId="0" borderId="7" xfId="0" applyFont="1" applyBorder="1"/>
    <xf numFmtId="180" fontId="3" fillId="2" borderId="24" xfId="0" applyNumberFormat="1" applyFont="1" applyFill="1" applyBorder="1" applyAlignment="1">
      <alignment horizontal="center" vertical="center"/>
    </xf>
    <xf numFmtId="180" fontId="21" fillId="0" borderId="21" xfId="0" applyNumberFormat="1" applyFont="1" applyBorder="1" applyAlignment="1">
      <alignment horizontal="center" vertical="center"/>
    </xf>
    <xf numFmtId="180" fontId="21" fillId="0" borderId="22" xfId="0" applyNumberFormat="1" applyFont="1" applyBorder="1" applyAlignment="1">
      <alignment horizontal="center" vertical="center"/>
    </xf>
    <xf numFmtId="180" fontId="3" fillId="2" borderId="11" xfId="0" applyNumberFormat="1" applyFont="1" applyFill="1" applyBorder="1" applyAlignment="1">
      <alignment horizontal="center" vertical="center"/>
    </xf>
    <xf numFmtId="180" fontId="21" fillId="0" borderId="12" xfId="0" applyNumberFormat="1" applyFont="1" applyBorder="1" applyAlignment="1">
      <alignment horizontal="center" vertical="center"/>
    </xf>
    <xf numFmtId="180" fontId="21" fillId="0" borderId="23" xfId="0" applyNumberFormat="1" applyFont="1" applyBorder="1" applyAlignment="1">
      <alignment horizontal="center" vertical="center"/>
    </xf>
    <xf numFmtId="0" fontId="5" fillId="12" borderId="16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vertical="center"/>
    </xf>
    <xf numFmtId="0" fontId="0" fillId="0" borderId="9" xfId="0" applyBorder="1"/>
    <xf numFmtId="0" fontId="0" fillId="0" borderId="0" xfId="0"/>
    <xf numFmtId="0" fontId="24" fillId="0" borderId="11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57" fillId="0" borderId="17" xfId="0" applyFont="1" applyBorder="1" applyAlignment="1">
      <alignment horizontal="center" vertical="center"/>
    </xf>
    <xf numFmtId="0" fontId="57" fillId="0" borderId="18" xfId="0" applyFont="1" applyBorder="1" applyAlignment="1">
      <alignment horizontal="center" vertical="center"/>
    </xf>
    <xf numFmtId="0" fontId="58" fillId="0" borderId="19" xfId="0" applyFont="1" applyBorder="1" applyAlignment="1">
      <alignment horizontal="center" vertical="center"/>
    </xf>
    <xf numFmtId="0" fontId="6" fillId="12" borderId="16" xfId="0" applyFont="1" applyFill="1" applyBorder="1" applyAlignment="1">
      <alignment horizontal="center" vertical="center"/>
    </xf>
    <xf numFmtId="0" fontId="23" fillId="11" borderId="16" xfId="0" applyFont="1" applyFill="1" applyBorder="1" applyAlignment="1">
      <alignment horizontal="center" vertical="center"/>
    </xf>
    <xf numFmtId="180" fontId="33" fillId="0" borderId="16" xfId="0" applyNumberFormat="1" applyFont="1" applyBorder="1" applyAlignment="1">
      <alignment horizontal="center" vertical="center"/>
    </xf>
    <xf numFmtId="0" fontId="34" fillId="0" borderId="16" xfId="0" applyFont="1" applyBorder="1" applyAlignment="1">
      <alignment horizontal="center"/>
    </xf>
    <xf numFmtId="0" fontId="0" fillId="0" borderId="30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0" xfId="0" applyBorder="1" applyAlignment="1">
      <alignment horizontal="left"/>
    </xf>
    <xf numFmtId="0" fontId="0" fillId="0" borderId="28" xfId="0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29" xfId="0" applyBorder="1" applyAlignment="1">
      <alignment horizontal="left"/>
    </xf>
    <xf numFmtId="0" fontId="20" fillId="0" borderId="0" xfId="0" applyFont="1" applyAlignment="1">
      <alignment horizontal="center" vertical="center"/>
    </xf>
    <xf numFmtId="0" fontId="19" fillId="0" borderId="0" xfId="0" applyFont="1"/>
    <xf numFmtId="0" fontId="19" fillId="0" borderId="12" xfId="0" applyFont="1" applyBorder="1"/>
    <xf numFmtId="0" fontId="27" fillId="2" borderId="6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182" fontId="24" fillId="0" borderId="16" xfId="0" applyNumberFormat="1" applyFont="1" applyBorder="1" applyAlignment="1">
      <alignment horizontal="center" vertical="center"/>
    </xf>
    <xf numFmtId="182" fontId="23" fillId="0" borderId="16" xfId="0" applyNumberFormat="1" applyFont="1" applyBorder="1" applyAlignment="1">
      <alignment horizontal="center" vertical="center"/>
    </xf>
    <xf numFmtId="0" fontId="28" fillId="11" borderId="11" xfId="0" applyFont="1" applyFill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1" fontId="5" fillId="2" borderId="8" xfId="5" applyFont="1" applyFill="1" applyBorder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0" fontId="36" fillId="0" borderId="0" xfId="0" applyFont="1"/>
    <xf numFmtId="0" fontId="37" fillId="0" borderId="0" xfId="0" applyFont="1"/>
    <xf numFmtId="0" fontId="36" fillId="0" borderId="9" xfId="0" applyFont="1" applyBorder="1"/>
    <xf numFmtId="0" fontId="28" fillId="12" borderId="11" xfId="0" applyFont="1" applyFill="1" applyBorder="1" applyAlignment="1">
      <alignment horizontal="center" vertical="center"/>
    </xf>
    <xf numFmtId="0" fontId="28" fillId="12" borderId="12" xfId="0" applyFont="1" applyFill="1" applyBorder="1" applyAlignment="1">
      <alignment horizontal="center" vertical="center"/>
    </xf>
    <xf numFmtId="0" fontId="28" fillId="12" borderId="13" xfId="0" applyFont="1" applyFill="1" applyBorder="1" applyAlignment="1">
      <alignment horizontal="center" vertical="center"/>
    </xf>
    <xf numFmtId="0" fontId="28" fillId="11" borderId="6" xfId="0" applyFont="1" applyFill="1" applyBorder="1" applyAlignment="1">
      <alignment horizontal="center" vertical="center"/>
    </xf>
    <xf numFmtId="0" fontId="28" fillId="12" borderId="16" xfId="0" applyFont="1" applyFill="1" applyBorder="1" applyAlignment="1">
      <alignment horizontal="center" vertical="center"/>
    </xf>
    <xf numFmtId="0" fontId="29" fillId="11" borderId="16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31" fontId="3" fillId="2" borderId="6" xfId="0" applyNumberFormat="1" applyFont="1" applyFill="1" applyBorder="1" applyAlignment="1">
      <alignment horizontal="center" vertical="center"/>
    </xf>
    <xf numFmtId="0" fontId="6" fillId="10" borderId="6" xfId="0" applyFont="1" applyFill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6" fillId="3" borderId="16" xfId="0" applyFont="1" applyFill="1" applyBorder="1" applyAlignment="1">
      <alignment horizontal="center" vertical="center"/>
    </xf>
    <xf numFmtId="31" fontId="3" fillId="2" borderId="16" xfId="0" applyNumberFormat="1" applyFont="1" applyFill="1" applyBorder="1" applyAlignment="1">
      <alignment horizontal="center" vertical="center"/>
    </xf>
    <xf numFmtId="0" fontId="0" fillId="0" borderId="16" xfId="0" applyBorder="1"/>
    <xf numFmtId="0" fontId="6" fillId="10" borderId="16" xfId="0" applyFont="1" applyFill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21" fillId="0" borderId="17" xfId="0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30" fillId="0" borderId="7" xfId="0" applyFont="1" applyBorder="1" applyAlignment="1">
      <alignment horizontal="center" vertical="center"/>
    </xf>
    <xf numFmtId="0" fontId="6" fillId="10" borderId="8" xfId="0" applyFont="1" applyFill="1" applyBorder="1" applyAlignment="1">
      <alignment horizontal="center" vertical="center"/>
    </xf>
    <xf numFmtId="0" fontId="26" fillId="11" borderId="7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12" fillId="0" borderId="7" xfId="0" applyFont="1" applyBorder="1"/>
    <xf numFmtId="0" fontId="6" fillId="12" borderId="11" xfId="0" applyFont="1" applyFill="1" applyBorder="1" applyAlignment="1">
      <alignment horizontal="center" vertical="center"/>
    </xf>
    <xf numFmtId="0" fontId="23" fillId="0" borderId="13" xfId="0" applyFont="1" applyBorder="1"/>
    <xf numFmtId="0" fontId="25" fillId="11" borderId="14" xfId="0" applyFont="1" applyFill="1" applyBorder="1"/>
    <xf numFmtId="0" fontId="23" fillId="0" borderId="1" xfId="0" applyFont="1" applyBorder="1"/>
    <xf numFmtId="0" fontId="25" fillId="11" borderId="15" xfId="0" applyFont="1" applyFill="1" applyBorder="1"/>
    <xf numFmtId="0" fontId="23" fillId="0" borderId="10" xfId="0" applyFont="1" applyBorder="1"/>
    <xf numFmtId="0" fontId="27" fillId="12" borderId="7" xfId="0" applyFont="1" applyFill="1" applyBorder="1" applyAlignment="1">
      <alignment horizontal="center" vertical="center"/>
    </xf>
    <xf numFmtId="0" fontId="24" fillId="11" borderId="3" xfId="0" applyFont="1" applyFill="1" applyBorder="1" applyAlignment="1">
      <alignment horizontal="center" vertical="center"/>
    </xf>
    <xf numFmtId="0" fontId="27" fillId="12" borderId="3" xfId="0" applyFont="1" applyFill="1" applyBorder="1" applyAlignment="1">
      <alignment horizontal="center" vertical="center"/>
    </xf>
    <xf numFmtId="180" fontId="27" fillId="2" borderId="7" xfId="0" applyNumberFormat="1" applyFont="1" applyFill="1" applyBorder="1" applyAlignment="1">
      <alignment horizontal="center" vertical="center"/>
    </xf>
    <xf numFmtId="180" fontId="24" fillId="0" borderId="3" xfId="0" applyNumberFormat="1" applyFont="1" applyBorder="1" applyAlignment="1">
      <alignment horizontal="center" vertical="center"/>
    </xf>
    <xf numFmtId="180" fontId="27" fillId="2" borderId="3" xfId="0" applyNumberFormat="1" applyFont="1" applyFill="1" applyBorder="1" applyAlignment="1">
      <alignment horizontal="center" vertical="center"/>
    </xf>
    <xf numFmtId="0" fontId="25" fillId="13" borderId="7" xfId="0" applyFont="1" applyFill="1" applyBorder="1" applyAlignment="1">
      <alignment horizontal="center" vertical="center"/>
    </xf>
    <xf numFmtId="0" fontId="46" fillId="0" borderId="7" xfId="0" applyFont="1" applyBorder="1" applyAlignment="1">
      <alignment horizontal="center" vertical="center"/>
    </xf>
    <xf numFmtId="0" fontId="43" fillId="0" borderId="16" xfId="0" applyFont="1" applyBorder="1" applyAlignment="1">
      <alignment horizontal="left" vertical="center"/>
    </xf>
    <xf numFmtId="0" fontId="39" fillId="0" borderId="16" xfId="0" applyFont="1" applyBorder="1" applyAlignment="1">
      <alignment horizontal="left" vertical="center"/>
    </xf>
    <xf numFmtId="0" fontId="44" fillId="0" borderId="16" xfId="0" applyFont="1" applyBorder="1" applyAlignment="1">
      <alignment horizontal="left" vertical="center" wrapText="1"/>
    </xf>
    <xf numFmtId="0" fontId="44" fillId="0" borderId="16" xfId="0" applyFont="1" applyBorder="1" applyAlignment="1">
      <alignment horizontal="left" vertical="center"/>
    </xf>
    <xf numFmtId="0" fontId="14" fillId="0" borderId="16" xfId="0" applyFont="1" applyBorder="1" applyAlignment="1">
      <alignment horizontal="center" vertical="center"/>
    </xf>
    <xf numFmtId="0" fontId="44" fillId="0" borderId="16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6" fillId="9" borderId="16" xfId="0" applyFont="1" applyFill="1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17" fillId="0" borderId="31" xfId="0" applyFont="1" applyBorder="1" applyAlignment="1">
      <alignment horizontal="center" vertical="center" wrapText="1"/>
    </xf>
    <xf numFmtId="0" fontId="17" fillId="0" borderId="36" xfId="0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43" fillId="0" borderId="16" xfId="0" applyFont="1" applyBorder="1" applyAlignment="1">
      <alignment horizontal="left" vertical="center" wrapText="1"/>
    </xf>
    <xf numFmtId="0" fontId="40" fillId="11" borderId="31" xfId="0" applyFont="1" applyFill="1" applyBorder="1" applyAlignment="1">
      <alignment horizontal="center" vertical="center"/>
    </xf>
    <xf numFmtId="0" fontId="40" fillId="11" borderId="36" xfId="0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41" fillId="4" borderId="31" xfId="0" applyFont="1" applyFill="1" applyBorder="1" applyAlignment="1">
      <alignment horizontal="center" vertical="center" shrinkToFit="1"/>
    </xf>
    <xf numFmtId="0" fontId="41" fillId="4" borderId="36" xfId="0" applyFont="1" applyFill="1" applyBorder="1" applyAlignment="1">
      <alignment horizontal="center" vertical="center" shrinkToFit="1"/>
    </xf>
    <xf numFmtId="0" fontId="42" fillId="0" borderId="36" xfId="0" applyFont="1" applyBorder="1" applyAlignment="1">
      <alignment shrinkToFit="1"/>
    </xf>
    <xf numFmtId="0" fontId="0" fillId="0" borderId="32" xfId="0" applyBorder="1" applyAlignment="1">
      <alignment shrinkToFit="1"/>
    </xf>
    <xf numFmtId="0" fontId="41" fillId="4" borderId="31" xfId="0" applyFont="1" applyFill="1" applyBorder="1" applyAlignment="1">
      <alignment horizontal="center" vertical="center" wrapText="1"/>
    </xf>
    <xf numFmtId="0" fontId="0" fillId="0" borderId="36" xfId="0" applyBorder="1"/>
    <xf numFmtId="0" fontId="0" fillId="0" borderId="32" xfId="0" applyBorder="1"/>
    <xf numFmtId="0" fontId="41" fillId="4" borderId="31" xfId="0" applyFont="1" applyFill="1" applyBorder="1" applyAlignment="1">
      <alignment horizontal="center" vertical="center"/>
    </xf>
    <xf numFmtId="0" fontId="41" fillId="4" borderId="36" xfId="0" applyFont="1" applyFill="1" applyBorder="1" applyAlignment="1">
      <alignment horizontal="center" vertical="center"/>
    </xf>
    <xf numFmtId="0" fontId="39" fillId="0" borderId="36" xfId="0" applyFont="1" applyBorder="1"/>
    <xf numFmtId="0" fontId="40" fillId="11" borderId="31" xfId="0" applyFont="1" applyFill="1" applyBorder="1" applyAlignment="1">
      <alignment horizontal="center" vertical="center" wrapText="1"/>
    </xf>
    <xf numFmtId="0" fontId="40" fillId="11" borderId="32" xfId="0" applyFont="1" applyFill="1" applyBorder="1" applyAlignment="1">
      <alignment horizontal="center" vertical="center"/>
    </xf>
    <xf numFmtId="0" fontId="42" fillId="0" borderId="36" xfId="0" applyFont="1" applyBorder="1"/>
    <xf numFmtId="0" fontId="38" fillId="0" borderId="25" xfId="0" applyFont="1" applyBorder="1" applyAlignment="1">
      <alignment horizontal="center" vertical="center" shrinkToFit="1"/>
    </xf>
    <xf numFmtId="0" fontId="38" fillId="0" borderId="30" xfId="0" applyFont="1" applyBorder="1" applyAlignment="1">
      <alignment horizontal="center" vertical="center" shrinkToFit="1"/>
    </xf>
    <xf numFmtId="0" fontId="38" fillId="0" borderId="26" xfId="0" applyFont="1" applyBorder="1" applyAlignment="1">
      <alignment horizontal="center" vertical="center" shrinkToFit="1"/>
    </xf>
    <xf numFmtId="0" fontId="5" fillId="9" borderId="17" xfId="0" applyFont="1" applyFill="1" applyBorder="1" applyAlignment="1">
      <alignment horizontal="left" vertical="center"/>
    </xf>
    <xf numFmtId="0" fontId="46" fillId="0" borderId="18" xfId="0" applyFont="1" applyBorder="1"/>
    <xf numFmtId="0" fontId="17" fillId="0" borderId="32" xfId="0" applyFont="1" applyBorder="1" applyAlignment="1">
      <alignment horizontal="center" vertical="center"/>
    </xf>
    <xf numFmtId="0" fontId="41" fillId="11" borderId="16" xfId="0" applyFont="1" applyFill="1" applyBorder="1" applyAlignment="1">
      <alignment horizontal="center" vertical="center" wrapText="1"/>
    </xf>
    <xf numFmtId="0" fontId="39" fillId="11" borderId="16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0" fontId="17" fillId="0" borderId="31" xfId="0" applyFont="1" applyFill="1" applyBorder="1" applyAlignment="1">
      <alignment horizontal="center" vertical="center" wrapText="1"/>
    </xf>
    <xf numFmtId="0" fontId="17" fillId="0" borderId="36" xfId="0" applyFont="1" applyFill="1" applyBorder="1" applyAlignment="1">
      <alignment horizontal="center" vertical="center" wrapText="1"/>
    </xf>
    <xf numFmtId="0" fontId="17" fillId="0" borderId="32" xfId="0" applyFont="1" applyFill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14" fillId="5" borderId="16" xfId="1" applyFont="1" applyFill="1" applyBorder="1">
      <alignment vertical="center"/>
    </xf>
    <xf numFmtId="0" fontId="14" fillId="0" borderId="16" xfId="1" applyFont="1" applyBorder="1">
      <alignment vertical="center"/>
    </xf>
    <xf numFmtId="0" fontId="14" fillId="5" borderId="16" xfId="1" applyFont="1" applyFill="1" applyBorder="1" applyAlignment="1">
      <alignment vertical="center" wrapText="1"/>
    </xf>
    <xf numFmtId="0" fontId="10" fillId="0" borderId="16" xfId="1" applyFont="1" applyBorder="1">
      <alignment vertical="center"/>
    </xf>
    <xf numFmtId="0" fontId="14" fillId="9" borderId="16" xfId="1" applyFont="1" applyFill="1" applyBorder="1" applyAlignment="1">
      <alignment horizontal="center" vertical="center" shrinkToFit="1"/>
    </xf>
    <xf numFmtId="0" fontId="14" fillId="5" borderId="31" xfId="1" applyFont="1" applyFill="1" applyBorder="1">
      <alignment vertical="center"/>
    </xf>
    <xf numFmtId="0" fontId="14" fillId="5" borderId="36" xfId="1" applyFont="1" applyFill="1" applyBorder="1">
      <alignment vertical="center"/>
    </xf>
    <xf numFmtId="0" fontId="0" fillId="0" borderId="32" xfId="0" applyBorder="1" applyAlignment="1">
      <alignment vertical="center"/>
    </xf>
    <xf numFmtId="0" fontId="47" fillId="6" borderId="16" xfId="1" applyFont="1" applyFill="1" applyBorder="1">
      <alignment vertical="center"/>
    </xf>
    <xf numFmtId="0" fontId="18" fillId="7" borderId="16" xfId="1" applyFont="1" applyFill="1" applyBorder="1" applyAlignment="1">
      <alignment horizontal="center" vertical="center"/>
    </xf>
    <xf numFmtId="0" fontId="18" fillId="7" borderId="16" xfId="1" applyFont="1" applyFill="1" applyBorder="1" applyAlignment="1">
      <alignment horizontal="center" vertical="center" shrinkToFit="1"/>
    </xf>
    <xf numFmtId="0" fontId="14" fillId="5" borderId="17" xfId="1" applyFont="1" applyFill="1" applyBorder="1">
      <alignment vertical="center"/>
    </xf>
    <xf numFmtId="0" fontId="53" fillId="0" borderId="19" xfId="0" applyFont="1" applyBorder="1" applyAlignment="1">
      <alignment vertical="center"/>
    </xf>
    <xf numFmtId="0" fontId="0" fillId="0" borderId="36" xfId="0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179" fontId="21" fillId="0" borderId="25" xfId="0" applyNumberFormat="1" applyFont="1" applyBorder="1" applyAlignment="1">
      <alignment horizontal="left" vertical="center" wrapText="1"/>
    </xf>
    <xf numFmtId="0" fontId="6" fillId="0" borderId="9" xfId="0" applyFont="1" applyFill="1" applyBorder="1" applyAlignment="1">
      <alignment vertical="center"/>
    </xf>
    <xf numFmtId="0" fontId="0" fillId="0" borderId="9" xfId="0" applyFill="1" applyBorder="1"/>
    <xf numFmtId="0" fontId="0" fillId="0" borderId="0" xfId="0" applyFill="1"/>
    <xf numFmtId="0" fontId="3" fillId="0" borderId="6" xfId="0" applyFont="1" applyFill="1" applyBorder="1" applyAlignment="1">
      <alignment horizontal="center" vertical="center"/>
    </xf>
    <xf numFmtId="0" fontId="0" fillId="0" borderId="8" xfId="0" applyFill="1" applyBorder="1"/>
    <xf numFmtId="0" fontId="48" fillId="0" borderId="16" xfId="1" applyFont="1" applyBorder="1" applyAlignment="1">
      <alignment vertical="center" wrapText="1" shrinkToFit="1"/>
    </xf>
  </cellXfs>
  <cellStyles count="6">
    <cellStyle name="백분율 2" xfId="4"/>
    <cellStyle name="쉼표 [0]" xfId="5" builtinId="6"/>
    <cellStyle name="쉼표 [0] 2" xfId="3"/>
    <cellStyle name="표준" xfId="0" builtinId="0"/>
    <cellStyle name="표준 2" xfId="2"/>
    <cellStyle name="표준_05년하반기점검표(051004)" xfId="1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name="항목비교표-style" pivot="0" count="4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fitToPage="1"/>
  </sheetPr>
  <dimension ref="B1:R26"/>
  <sheetViews>
    <sheetView tabSelected="1" topLeftCell="A10" zoomScale="85" zoomScaleNormal="85" workbookViewId="0">
      <selection activeCell="M27" sqref="M27"/>
    </sheetView>
  </sheetViews>
  <sheetFormatPr defaultColWidth="12.5546875" defaultRowHeight="15.75" customHeight="1"/>
  <cols>
    <col min="1" max="1" width="5.6640625" customWidth="1"/>
    <col min="2" max="16" width="12.6640625" customWidth="1"/>
    <col min="18" max="18" width="16.109375" bestFit="1" customWidth="1"/>
  </cols>
  <sheetData>
    <row r="1" spans="2:17" ht="15" customHeight="1">
      <c r="B1" s="127" t="s">
        <v>167</v>
      </c>
      <c r="C1" s="127"/>
      <c r="D1" s="127"/>
      <c r="E1" s="128"/>
      <c r="F1" s="128"/>
      <c r="G1" s="129"/>
      <c r="H1" s="128"/>
      <c r="I1" s="128"/>
      <c r="J1" s="128"/>
      <c r="K1" s="128"/>
      <c r="L1" s="128"/>
      <c r="M1" s="128"/>
      <c r="N1" s="128"/>
      <c r="O1" s="128"/>
      <c r="P1" s="128"/>
    </row>
    <row r="2" spans="2:17" ht="15" customHeight="1">
      <c r="B2" s="128"/>
      <c r="C2" s="128"/>
      <c r="D2" s="128"/>
      <c r="E2" s="128"/>
      <c r="F2" s="128"/>
      <c r="G2" s="129"/>
      <c r="H2" s="128"/>
      <c r="I2" s="128"/>
      <c r="J2" s="128"/>
      <c r="K2" s="128"/>
      <c r="L2" s="128"/>
      <c r="M2" s="128"/>
      <c r="N2" s="128"/>
      <c r="O2" s="128"/>
      <c r="P2" s="128"/>
    </row>
    <row r="3" spans="2:17" ht="15" customHeight="1">
      <c r="B3" s="128"/>
      <c r="C3" s="128"/>
      <c r="D3" s="128"/>
      <c r="E3" s="128"/>
      <c r="F3" s="128"/>
      <c r="G3" s="129"/>
      <c r="H3" s="128"/>
      <c r="I3" s="128"/>
      <c r="J3" s="128"/>
      <c r="K3" s="128"/>
      <c r="L3" s="128"/>
      <c r="M3" s="128"/>
      <c r="N3" s="128"/>
      <c r="O3" s="128"/>
      <c r="P3" s="128"/>
    </row>
    <row r="4" spans="2:17" ht="15" customHeight="1">
      <c r="B4" s="128"/>
      <c r="C4" s="128"/>
      <c r="D4" s="128"/>
      <c r="E4" s="128"/>
      <c r="F4" s="128"/>
      <c r="G4" s="129"/>
      <c r="H4" s="128"/>
      <c r="I4" s="128"/>
      <c r="J4" s="128"/>
      <c r="K4" s="128"/>
      <c r="L4" s="128"/>
      <c r="M4" s="128"/>
      <c r="N4" s="128"/>
      <c r="O4" s="128"/>
      <c r="P4" s="128"/>
    </row>
    <row r="5" spans="2:17" ht="15" customHeight="1">
      <c r="B5" s="130"/>
      <c r="C5" s="130"/>
      <c r="D5" s="130"/>
      <c r="E5" s="130"/>
      <c r="F5" s="130"/>
      <c r="G5" s="130"/>
      <c r="H5" s="130"/>
      <c r="I5" s="130"/>
      <c r="J5" s="128"/>
      <c r="K5" s="128"/>
      <c r="L5" s="128"/>
      <c r="M5" s="128"/>
      <c r="N5" s="128"/>
      <c r="O5" s="128"/>
      <c r="P5" s="128"/>
    </row>
    <row r="6" spans="2:17" ht="30" customHeight="1">
      <c r="B6" s="139" t="s">
        <v>5</v>
      </c>
      <c r="C6" s="153"/>
      <c r="D6" s="153"/>
      <c r="E6" s="154"/>
      <c r="F6" s="139" t="s">
        <v>13</v>
      </c>
      <c r="G6" s="140"/>
      <c r="H6" s="140"/>
      <c r="I6" s="140"/>
      <c r="J6" s="144" t="s">
        <v>334</v>
      </c>
      <c r="K6" s="137"/>
      <c r="L6" s="137"/>
      <c r="M6" s="137"/>
      <c r="N6" s="61" t="s">
        <v>336</v>
      </c>
      <c r="O6" s="137"/>
      <c r="P6" s="137"/>
    </row>
    <row r="7" spans="2:17" ht="30" customHeight="1">
      <c r="B7" s="157" t="s">
        <v>352</v>
      </c>
      <c r="C7" s="158"/>
      <c r="D7" s="158"/>
      <c r="E7" s="159"/>
      <c r="F7" s="141" t="s">
        <v>340</v>
      </c>
      <c r="G7" s="70"/>
      <c r="H7" s="70"/>
      <c r="I7" s="70"/>
      <c r="J7" s="145" t="s">
        <v>347</v>
      </c>
      <c r="K7" s="146"/>
      <c r="L7" s="146"/>
      <c r="M7" s="146"/>
      <c r="N7" s="236" t="s">
        <v>358</v>
      </c>
      <c r="O7" s="107"/>
      <c r="P7" s="108"/>
    </row>
    <row r="8" spans="2:17" ht="30" customHeight="1">
      <c r="B8" s="142" t="s">
        <v>6</v>
      </c>
      <c r="C8" s="155"/>
      <c r="D8" s="155"/>
      <c r="E8" s="156"/>
      <c r="F8" s="142" t="s">
        <v>14</v>
      </c>
      <c r="G8" s="143"/>
      <c r="H8" s="143"/>
      <c r="I8" s="143"/>
      <c r="J8" s="147" t="s">
        <v>335</v>
      </c>
      <c r="K8" s="148"/>
      <c r="L8" s="148"/>
      <c r="M8" s="148"/>
      <c r="N8" s="109"/>
      <c r="O8" s="110"/>
      <c r="P8" s="111"/>
    </row>
    <row r="9" spans="2:17" ht="30" customHeight="1">
      <c r="B9" s="2"/>
      <c r="C9" s="126">
        <v>47316083290</v>
      </c>
      <c r="D9" s="126"/>
      <c r="E9" s="59" t="s">
        <v>7</v>
      </c>
      <c r="F9" s="240" t="s">
        <v>360</v>
      </c>
      <c r="G9" s="241"/>
      <c r="H9" s="241"/>
      <c r="I9" s="241"/>
      <c r="J9" s="149" t="s">
        <v>346</v>
      </c>
      <c r="K9" s="79"/>
      <c r="L9" s="79"/>
      <c r="M9" s="80"/>
      <c r="N9" s="112"/>
      <c r="O9" s="113"/>
      <c r="P9" s="114"/>
    </row>
    <row r="10" spans="2:17" ht="30" customHeight="1">
      <c r="B10" s="237" t="s">
        <v>359</v>
      </c>
      <c r="C10" s="238"/>
      <c r="D10" s="238"/>
      <c r="E10" s="238"/>
      <c r="F10" s="238"/>
      <c r="G10" s="238"/>
      <c r="H10" s="238"/>
      <c r="I10" s="238"/>
      <c r="J10" s="238"/>
      <c r="K10" s="238"/>
      <c r="L10" s="238"/>
      <c r="M10" s="238"/>
      <c r="N10" s="238"/>
      <c r="O10" s="239"/>
      <c r="P10" s="239"/>
    </row>
    <row r="11" spans="2:17" ht="30" customHeight="1">
      <c r="B11" s="131" t="s">
        <v>20</v>
      </c>
      <c r="C11" s="132"/>
      <c r="D11" s="132"/>
      <c r="E11" s="133"/>
      <c r="F11" s="134" t="s">
        <v>17</v>
      </c>
      <c r="G11" s="119"/>
      <c r="H11" s="119"/>
      <c r="I11" s="134" t="s">
        <v>18</v>
      </c>
      <c r="J11" s="119"/>
      <c r="K11" s="119"/>
      <c r="L11" s="122" t="s">
        <v>21</v>
      </c>
      <c r="M11" s="123"/>
      <c r="N11" s="123"/>
      <c r="O11" s="135" t="s">
        <v>168</v>
      </c>
      <c r="P11" s="136"/>
    </row>
    <row r="12" spans="2:17" ht="30" customHeight="1">
      <c r="B12" s="103" t="s">
        <v>15</v>
      </c>
      <c r="C12" s="138"/>
      <c r="D12" s="103" t="s">
        <v>16</v>
      </c>
      <c r="E12" s="104"/>
      <c r="F12" s="166" t="s">
        <v>19</v>
      </c>
      <c r="G12" s="167"/>
      <c r="H12" s="167"/>
      <c r="I12" s="168" t="s">
        <v>19</v>
      </c>
      <c r="J12" s="168"/>
      <c r="K12" s="168"/>
      <c r="L12" s="124"/>
      <c r="M12" s="125"/>
      <c r="N12" s="125"/>
      <c r="O12" s="137"/>
      <c r="P12" s="137"/>
    </row>
    <row r="13" spans="2:17" ht="48" customHeight="1">
      <c r="B13" s="61" t="s">
        <v>22</v>
      </c>
      <c r="C13" s="138"/>
      <c r="D13" s="105">
        <f>SUM(F13:K13)*O13+L13</f>
        <v>84.228278867102404</v>
      </c>
      <c r="E13" s="106"/>
      <c r="F13" s="169">
        <f>SUM(F15:H17)</f>
        <v>42.394335511982568</v>
      </c>
      <c r="G13" s="170"/>
      <c r="H13" s="170"/>
      <c r="I13" s="171">
        <f>'안전보건 현장부문'!G166</f>
        <v>41</v>
      </c>
      <c r="J13" s="171"/>
      <c r="K13" s="171"/>
      <c r="L13" s="118">
        <f>G26</f>
        <v>0</v>
      </c>
      <c r="M13" s="119"/>
      <c r="N13" s="119"/>
      <c r="O13" s="120">
        <f>SUM(P15:P17)/3</f>
        <v>1.01</v>
      </c>
      <c r="P13" s="121"/>
    </row>
    <row r="14" spans="2:17" ht="3.9" customHeight="1">
      <c r="B14" s="115"/>
      <c r="C14" s="115"/>
      <c r="D14" s="115"/>
      <c r="E14" s="116"/>
      <c r="F14" s="117"/>
      <c r="G14" s="117"/>
      <c r="H14" s="117"/>
      <c r="I14" s="117"/>
      <c r="J14" s="117"/>
      <c r="K14" s="117"/>
      <c r="L14" s="117"/>
      <c r="M14" s="117"/>
      <c r="N14" s="117"/>
      <c r="O14" s="116"/>
      <c r="P14" s="116"/>
    </row>
    <row r="15" spans="2:17" ht="26.1" customHeight="1">
      <c r="B15" s="160" t="s">
        <v>38</v>
      </c>
      <c r="C15" s="161"/>
      <c r="D15" s="81" t="s">
        <v>99</v>
      </c>
      <c r="E15" s="82"/>
      <c r="F15" s="87">
        <f>P21/10</f>
        <v>9.4444444444444446</v>
      </c>
      <c r="G15" s="88"/>
      <c r="H15" s="89"/>
      <c r="I15" s="90" t="s">
        <v>331</v>
      </c>
      <c r="J15" s="62"/>
      <c r="K15" s="61" t="s">
        <v>332</v>
      </c>
      <c r="L15" s="62"/>
      <c r="M15" s="65" t="s">
        <v>341</v>
      </c>
      <c r="N15" s="66"/>
      <c r="O15" s="66"/>
      <c r="P15" s="55">
        <v>1</v>
      </c>
      <c r="Q15" s="12"/>
    </row>
    <row r="16" spans="2:17" ht="26.1" customHeight="1">
      <c r="B16" s="162"/>
      <c r="C16" s="163"/>
      <c r="D16" s="81" t="s">
        <v>330</v>
      </c>
      <c r="E16" s="83"/>
      <c r="F16" s="87">
        <f>P22/5</f>
        <v>15.764705882352942</v>
      </c>
      <c r="G16" s="88"/>
      <c r="H16" s="89"/>
      <c r="I16" s="62"/>
      <c r="J16" s="62"/>
      <c r="K16" s="61" t="s">
        <v>333</v>
      </c>
      <c r="L16" s="62"/>
      <c r="M16" s="65" t="s">
        <v>350</v>
      </c>
      <c r="N16" s="66"/>
      <c r="O16" s="66"/>
      <c r="P16" s="55">
        <v>1.01</v>
      </c>
    </row>
    <row r="17" spans="2:18" ht="26.1" customHeight="1">
      <c r="B17" s="164"/>
      <c r="C17" s="165"/>
      <c r="D17" s="81" t="s">
        <v>329</v>
      </c>
      <c r="E17" s="83"/>
      <c r="F17" s="84">
        <f>P23/5</f>
        <v>17.185185185185183</v>
      </c>
      <c r="G17" s="85"/>
      <c r="H17" s="86"/>
      <c r="I17" s="62"/>
      <c r="J17" s="62"/>
      <c r="K17" s="61" t="s">
        <v>169</v>
      </c>
      <c r="L17" s="62"/>
      <c r="M17" s="65" t="s">
        <v>170</v>
      </c>
      <c r="N17" s="66"/>
      <c r="O17" s="66"/>
      <c r="P17" s="55">
        <v>1.02</v>
      </c>
    </row>
    <row r="18" spans="2:18" ht="3.9" customHeight="1"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</row>
    <row r="19" spans="2:18" ht="26.1" customHeight="1">
      <c r="B19" s="91" t="s">
        <v>23</v>
      </c>
      <c r="C19" s="92"/>
      <c r="D19" s="92"/>
      <c r="E19" s="92"/>
      <c r="F19" s="92"/>
      <c r="G19" s="92"/>
      <c r="H19" s="92"/>
      <c r="I19" s="93"/>
      <c r="K19" s="63"/>
      <c r="L19" s="64"/>
      <c r="M19" s="64"/>
      <c r="N19" s="64"/>
      <c r="O19" s="64"/>
      <c r="P19" s="64"/>
    </row>
    <row r="20" spans="2:18" ht="26.1" customHeight="1">
      <c r="B20" s="73" t="s">
        <v>24</v>
      </c>
      <c r="C20" s="172"/>
      <c r="D20" s="73" t="s">
        <v>25</v>
      </c>
      <c r="E20" s="70"/>
      <c r="F20" s="70"/>
      <c r="G20" s="69" t="s">
        <v>26</v>
      </c>
      <c r="H20" s="70"/>
      <c r="I20" s="47" t="s">
        <v>20</v>
      </c>
      <c r="J20" s="48"/>
      <c r="K20" s="78" t="s">
        <v>25</v>
      </c>
      <c r="L20" s="79"/>
      <c r="M20" s="79"/>
      <c r="N20" s="79"/>
      <c r="O20" s="80"/>
      <c r="P20" s="53" t="s">
        <v>26</v>
      </c>
    </row>
    <row r="21" spans="2:18" ht="26.1" customHeight="1">
      <c r="B21" s="94" t="s">
        <v>27</v>
      </c>
      <c r="C21" s="95"/>
      <c r="D21" s="74" t="s">
        <v>30</v>
      </c>
      <c r="E21" s="75"/>
      <c r="F21" s="75"/>
      <c r="G21" s="71">
        <v>0</v>
      </c>
      <c r="H21" s="72"/>
      <c r="I21" s="76" t="s">
        <v>31</v>
      </c>
      <c r="J21" s="77"/>
      <c r="K21" s="100" t="s">
        <v>39</v>
      </c>
      <c r="L21" s="101"/>
      <c r="M21" s="101"/>
      <c r="N21" s="101"/>
      <c r="O21" s="102"/>
      <c r="P21" s="54">
        <f>'안전보건 서류부문'!H6</f>
        <v>94.444444444444443</v>
      </c>
      <c r="R21" s="57"/>
    </row>
    <row r="22" spans="2:18" ht="26.1" customHeight="1">
      <c r="B22" s="96"/>
      <c r="C22" s="97"/>
      <c r="D22" s="74" t="s">
        <v>34</v>
      </c>
      <c r="E22" s="75"/>
      <c r="F22" s="75"/>
      <c r="G22" s="71">
        <v>0</v>
      </c>
      <c r="H22" s="72"/>
      <c r="I22" s="76" t="s">
        <v>32</v>
      </c>
      <c r="J22" s="77"/>
      <c r="K22" s="100" t="s">
        <v>40</v>
      </c>
      <c r="L22" s="101"/>
      <c r="M22" s="101"/>
      <c r="N22" s="101"/>
      <c r="O22" s="102"/>
      <c r="P22" s="54">
        <f>'안전보건 서류부문'!H50</f>
        <v>78.82352941176471</v>
      </c>
      <c r="R22" s="57"/>
    </row>
    <row r="23" spans="2:18" ht="26.1" customHeight="1">
      <c r="B23" s="98"/>
      <c r="C23" s="99"/>
      <c r="D23" s="74" t="s">
        <v>35</v>
      </c>
      <c r="E23" s="75"/>
      <c r="F23" s="75"/>
      <c r="G23" s="71">
        <v>0</v>
      </c>
      <c r="H23" s="72"/>
      <c r="I23" s="76" t="s">
        <v>33</v>
      </c>
      <c r="J23" s="77"/>
      <c r="K23" s="100" t="s">
        <v>41</v>
      </c>
      <c r="L23" s="101"/>
      <c r="M23" s="101"/>
      <c r="N23" s="101"/>
      <c r="O23" s="102"/>
      <c r="P23" s="54">
        <f>'안전보건 서류부문'!H87</f>
        <v>85.925925925925924</v>
      </c>
    </row>
    <row r="24" spans="2:18" ht="26.1" customHeight="1">
      <c r="B24" s="94" t="s">
        <v>28</v>
      </c>
      <c r="C24" s="95"/>
      <c r="D24" s="74" t="s">
        <v>36</v>
      </c>
      <c r="E24" s="75"/>
      <c r="F24" s="75"/>
      <c r="G24" s="71">
        <v>0</v>
      </c>
      <c r="H24" s="72"/>
      <c r="I24" s="52"/>
      <c r="L24" s="93"/>
      <c r="M24" s="93"/>
      <c r="N24" s="93"/>
      <c r="O24" s="93"/>
      <c r="P24" s="93"/>
    </row>
    <row r="25" spans="2:18" ht="26.1" customHeight="1">
      <c r="B25" s="150"/>
      <c r="C25" s="151"/>
      <c r="D25" s="67" t="s">
        <v>37</v>
      </c>
      <c r="E25" s="68"/>
      <c r="F25" s="68"/>
      <c r="G25" s="71">
        <v>0</v>
      </c>
      <c r="H25" s="72"/>
      <c r="I25" s="52"/>
    </row>
    <row r="26" spans="2:18" ht="26.1" customHeight="1">
      <c r="B26" s="152"/>
      <c r="C26" s="152"/>
      <c r="D26" s="46"/>
      <c r="E26" s="46"/>
      <c r="F26" s="46"/>
      <c r="G26" s="71">
        <f>SUM(G21:H25)</f>
        <v>0</v>
      </c>
      <c r="H26" s="173"/>
      <c r="I26" s="52"/>
    </row>
  </sheetData>
  <mergeCells count="75">
    <mergeCell ref="B24:C25"/>
    <mergeCell ref="B26:C26"/>
    <mergeCell ref="B18:P18"/>
    <mergeCell ref="B6:E6"/>
    <mergeCell ref="B8:E8"/>
    <mergeCell ref="B7:E7"/>
    <mergeCell ref="B15:C17"/>
    <mergeCell ref="F12:H12"/>
    <mergeCell ref="I12:K12"/>
    <mergeCell ref="F13:H13"/>
    <mergeCell ref="I13:K13"/>
    <mergeCell ref="B20:C20"/>
    <mergeCell ref="G26:H26"/>
    <mergeCell ref="L24:N24"/>
    <mergeCell ref="O24:P24"/>
    <mergeCell ref="B13:C13"/>
    <mergeCell ref="B1:P5"/>
    <mergeCell ref="B11:E11"/>
    <mergeCell ref="F11:H11"/>
    <mergeCell ref="I11:K11"/>
    <mergeCell ref="B10:P10"/>
    <mergeCell ref="O11:P12"/>
    <mergeCell ref="B12:C12"/>
    <mergeCell ref="F6:I6"/>
    <mergeCell ref="F7:I7"/>
    <mergeCell ref="F8:I8"/>
    <mergeCell ref="F9:I9"/>
    <mergeCell ref="J6:M6"/>
    <mergeCell ref="J7:M7"/>
    <mergeCell ref="J8:M8"/>
    <mergeCell ref="J9:M9"/>
    <mergeCell ref="N6:P6"/>
    <mergeCell ref="D12:E12"/>
    <mergeCell ref="D13:E13"/>
    <mergeCell ref="N7:P9"/>
    <mergeCell ref="B14:P14"/>
    <mergeCell ref="F15:H15"/>
    <mergeCell ref="L13:N13"/>
    <mergeCell ref="O13:P13"/>
    <mergeCell ref="L11:N12"/>
    <mergeCell ref="K15:L15"/>
    <mergeCell ref="M15:O15"/>
    <mergeCell ref="C9:D9"/>
    <mergeCell ref="I21:J21"/>
    <mergeCell ref="K20:O20"/>
    <mergeCell ref="I22:J22"/>
    <mergeCell ref="I23:J23"/>
    <mergeCell ref="D15:E15"/>
    <mergeCell ref="D16:E16"/>
    <mergeCell ref="D17:E17"/>
    <mergeCell ref="F17:H17"/>
    <mergeCell ref="F16:H16"/>
    <mergeCell ref="I15:J17"/>
    <mergeCell ref="B19:I19"/>
    <mergeCell ref="B21:C23"/>
    <mergeCell ref="K21:O21"/>
    <mergeCell ref="K22:O22"/>
    <mergeCell ref="K23:O23"/>
    <mergeCell ref="K16:L16"/>
    <mergeCell ref="K17:L17"/>
    <mergeCell ref="K19:P19"/>
    <mergeCell ref="M16:O16"/>
    <mergeCell ref="M17:O17"/>
    <mergeCell ref="D25:F25"/>
    <mergeCell ref="G20:H20"/>
    <mergeCell ref="G21:H21"/>
    <mergeCell ref="G22:H22"/>
    <mergeCell ref="G23:H23"/>
    <mergeCell ref="G24:H24"/>
    <mergeCell ref="G25:H25"/>
    <mergeCell ref="D20:F20"/>
    <mergeCell ref="D21:F21"/>
    <mergeCell ref="D22:F22"/>
    <mergeCell ref="D23:F23"/>
    <mergeCell ref="D24:F24"/>
  </mergeCells>
  <phoneticPr fontId="8" type="noConversion"/>
  <dataValidations count="8">
    <dataValidation type="list" allowBlank="1" showInputMessage="1" showErrorMessage="1" sqref="G24:G25 I24:I25">
      <formula1>"0,-1,-2,-3,-4"</formula1>
    </dataValidation>
    <dataValidation type="list" allowBlank="1" showInputMessage="1" showErrorMessage="1" sqref="G21:G23">
      <formula1>"0,1,2,3"</formula1>
    </dataValidation>
    <dataValidation type="list" allowBlank="1" showInputMessage="1" showErrorMessage="1" sqref="M15">
      <formula1>"1~5%(1), 6~8%(1.02), 8~10%(1.04), 10%이상(1.06)"</formula1>
    </dataValidation>
    <dataValidation type="list" allowBlank="1" showInputMessage="1" showErrorMessage="1" sqref="P15">
      <formula1>"1, 1.02, 1.04, 1.06"</formula1>
    </dataValidation>
    <dataValidation type="list" allowBlank="1" showInputMessage="1" showErrorMessage="1" sqref="M16">
      <formula1>"일반(1), 거푸집&amp;동바리(1.01), 철골설치(1.02), T/C사용(1.03)"</formula1>
    </dataValidation>
    <dataValidation type="list" allowBlank="1" showInputMessage="1" showErrorMessage="1" sqref="M17">
      <formula1>"1명이상 운영(1), 미운영(1.02)"</formula1>
    </dataValidation>
    <dataValidation type="list" allowBlank="1" showInputMessage="1" showErrorMessage="1" sqref="P17">
      <formula1>"1, 1.02"</formula1>
    </dataValidation>
    <dataValidation type="list" allowBlank="1" showInputMessage="1" showErrorMessage="1" sqref="P16">
      <formula1>"1, 1.01, 1.02, 1.03"</formula1>
    </dataValidation>
  </dataValidations>
  <pageMargins left="0.70866141732283472" right="0.70866141732283472" top="0.74803149606299213" bottom="0.74803149606299213" header="0.31496062992125984" footer="0.31496062992125984"/>
  <pageSetup paperSize="9" scale="52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fitToPage="1"/>
  </sheetPr>
  <dimension ref="B1:K1073"/>
  <sheetViews>
    <sheetView topLeftCell="C1" zoomScale="70" zoomScaleNormal="70" workbookViewId="0">
      <pane ySplit="5" topLeftCell="A120" activePane="bottomLeft" state="frozen"/>
      <selection pane="bottomLeft" activeCell="L95" sqref="L95"/>
    </sheetView>
  </sheetViews>
  <sheetFormatPr defaultColWidth="12.5546875" defaultRowHeight="15.75" customHeight="1"/>
  <cols>
    <col min="1" max="1" width="5.6640625" customWidth="1"/>
    <col min="3" max="3" width="35" customWidth="1"/>
    <col min="4" max="4" width="57.5546875" customWidth="1"/>
    <col min="5" max="5" width="7.109375" customWidth="1"/>
    <col min="6" max="6" width="7.33203125" customWidth="1"/>
    <col min="7" max="7" width="11.109375" customWidth="1"/>
    <col min="8" max="8" width="20.33203125" customWidth="1"/>
  </cols>
  <sheetData>
    <row r="1" spans="2:11" ht="36" customHeight="1">
      <c r="C1" s="203" t="s">
        <v>42</v>
      </c>
      <c r="D1" s="204"/>
      <c r="E1" s="204"/>
      <c r="F1" s="204"/>
      <c r="G1" s="204"/>
      <c r="H1" s="205"/>
    </row>
    <row r="2" spans="2:11" ht="12.75" customHeight="1">
      <c r="B2" s="187" t="s">
        <v>43</v>
      </c>
      <c r="C2" s="190" t="s">
        <v>8</v>
      </c>
      <c r="D2" s="194" t="s">
        <v>48</v>
      </c>
      <c r="E2" s="197" t="s">
        <v>9</v>
      </c>
      <c r="F2" s="197" t="s">
        <v>10</v>
      </c>
      <c r="G2" s="197" t="s">
        <v>56</v>
      </c>
      <c r="H2" s="194" t="s">
        <v>57</v>
      </c>
    </row>
    <row r="3" spans="2:11" ht="12.75" customHeight="1">
      <c r="B3" s="188"/>
      <c r="C3" s="191"/>
      <c r="D3" s="195"/>
      <c r="E3" s="198"/>
      <c r="F3" s="198"/>
      <c r="G3" s="198"/>
      <c r="H3" s="198"/>
    </row>
    <row r="4" spans="2:11" ht="12.75" customHeight="1">
      <c r="B4" s="188"/>
      <c r="C4" s="192"/>
      <c r="D4" s="195"/>
      <c r="E4" s="199"/>
      <c r="F4" s="198"/>
      <c r="G4" s="199"/>
      <c r="H4" s="202"/>
    </row>
    <row r="5" spans="2:11" ht="13.8" thickBot="1">
      <c r="B5" s="189"/>
      <c r="C5" s="193"/>
      <c r="D5" s="196"/>
      <c r="E5" s="196"/>
      <c r="F5" s="189"/>
      <c r="G5" s="196"/>
      <c r="H5" s="195"/>
    </row>
    <row r="6" spans="2:11" ht="21.75" customHeight="1" thickTop="1" thickBot="1">
      <c r="B6" s="206" t="s">
        <v>50</v>
      </c>
      <c r="C6" s="207"/>
      <c r="D6" s="207"/>
      <c r="E6" s="207"/>
      <c r="F6" s="207"/>
      <c r="G6" s="13">
        <f>SUM(G7:G48)</f>
        <v>85</v>
      </c>
      <c r="H6" s="20">
        <f>(100*G6)/SUM((E9,E12,E15,E18,E24,E21,E27,E30,E33,E36,E39,E42,E45,E48))</f>
        <v>94.444444444444443</v>
      </c>
    </row>
    <row r="7" spans="2:11" ht="21.9" customHeight="1" thickTop="1">
      <c r="B7" s="200" t="s">
        <v>52</v>
      </c>
      <c r="C7" s="174" t="s">
        <v>69</v>
      </c>
      <c r="D7" s="176" t="s">
        <v>45</v>
      </c>
      <c r="E7" s="9">
        <v>0</v>
      </c>
      <c r="F7" s="178" t="s">
        <v>44</v>
      </c>
      <c r="G7" s="178">
        <v>5</v>
      </c>
      <c r="H7" s="208"/>
    </row>
    <row r="8" spans="2:11" ht="21.9" customHeight="1">
      <c r="B8" s="188"/>
      <c r="C8" s="175"/>
      <c r="D8" s="177"/>
      <c r="E8" s="10">
        <v>2</v>
      </c>
      <c r="F8" s="179"/>
      <c r="G8" s="179"/>
      <c r="H8" s="180"/>
    </row>
    <row r="9" spans="2:11" ht="21.9" customHeight="1">
      <c r="B9" s="188"/>
      <c r="C9" s="175"/>
      <c r="D9" s="177"/>
      <c r="E9" s="11">
        <f>IF(F7="N/A","N/A",5)</f>
        <v>5</v>
      </c>
      <c r="F9" s="179"/>
      <c r="G9" s="179"/>
      <c r="H9" s="180"/>
    </row>
    <row r="10" spans="2:11" ht="21.9" customHeight="1">
      <c r="B10" s="188"/>
      <c r="C10" s="174" t="s">
        <v>70</v>
      </c>
      <c r="D10" s="176" t="s">
        <v>46</v>
      </c>
      <c r="E10" s="9">
        <v>0</v>
      </c>
      <c r="F10" s="178" t="s">
        <v>44</v>
      </c>
      <c r="G10" s="178">
        <v>5</v>
      </c>
      <c r="H10" s="180"/>
    </row>
    <row r="11" spans="2:11" ht="21.9" customHeight="1">
      <c r="B11" s="188"/>
      <c r="C11" s="175"/>
      <c r="D11" s="177"/>
      <c r="E11" s="10">
        <v>2</v>
      </c>
      <c r="F11" s="179"/>
      <c r="G11" s="179"/>
      <c r="H11" s="180"/>
    </row>
    <row r="12" spans="2:11" ht="21.9" customHeight="1">
      <c r="B12" s="188"/>
      <c r="C12" s="175"/>
      <c r="D12" s="177"/>
      <c r="E12" s="11">
        <f>IF(F10="N/A","N/A",5)</f>
        <v>5</v>
      </c>
      <c r="F12" s="179"/>
      <c r="G12" s="179"/>
      <c r="H12" s="180"/>
    </row>
    <row r="13" spans="2:11" ht="21.9" customHeight="1">
      <c r="B13" s="188"/>
      <c r="C13" s="174" t="s">
        <v>71</v>
      </c>
      <c r="D13" s="176" t="s">
        <v>66</v>
      </c>
      <c r="E13" s="9">
        <v>0</v>
      </c>
      <c r="F13" s="178" t="s">
        <v>44</v>
      </c>
      <c r="G13" s="178">
        <v>5</v>
      </c>
      <c r="H13" s="180"/>
    </row>
    <row r="14" spans="2:11" ht="21.9" customHeight="1">
      <c r="B14" s="188"/>
      <c r="C14" s="175"/>
      <c r="D14" s="177"/>
      <c r="E14" s="10">
        <v>2</v>
      </c>
      <c r="F14" s="179"/>
      <c r="G14" s="179"/>
      <c r="H14" s="180"/>
      <c r="K14" s="56" t="s">
        <v>338</v>
      </c>
    </row>
    <row r="15" spans="2:11" ht="21.9" customHeight="1">
      <c r="B15" s="188"/>
      <c r="C15" s="175"/>
      <c r="D15" s="177"/>
      <c r="E15" s="11">
        <f>IF(F13="N/A","N/A",5)</f>
        <v>5</v>
      </c>
      <c r="F15" s="179"/>
      <c r="G15" s="179"/>
      <c r="H15" s="180"/>
    </row>
    <row r="16" spans="2:11" ht="18" customHeight="1">
      <c r="B16" s="188"/>
      <c r="C16" s="174" t="s">
        <v>72</v>
      </c>
      <c r="D16" s="176" t="s">
        <v>67</v>
      </c>
      <c r="E16" s="9">
        <v>0</v>
      </c>
      <c r="F16" s="178" t="s">
        <v>44</v>
      </c>
      <c r="G16" s="178">
        <v>5</v>
      </c>
      <c r="H16" s="180"/>
    </row>
    <row r="17" spans="2:10" ht="18" customHeight="1">
      <c r="B17" s="188"/>
      <c r="C17" s="175"/>
      <c r="D17" s="177"/>
      <c r="E17" s="10">
        <v>2</v>
      </c>
      <c r="F17" s="179"/>
      <c r="G17" s="179"/>
      <c r="H17" s="180"/>
      <c r="J17" s="12"/>
    </row>
    <row r="18" spans="2:10" ht="18" customHeight="1">
      <c r="B18" s="188"/>
      <c r="C18" s="175"/>
      <c r="D18" s="177"/>
      <c r="E18" s="11">
        <f>IF(F16="N/A","N/A",5)</f>
        <v>5</v>
      </c>
      <c r="F18" s="179"/>
      <c r="G18" s="179"/>
      <c r="H18" s="180"/>
    </row>
    <row r="19" spans="2:10" ht="21.9" customHeight="1">
      <c r="B19" s="188"/>
      <c r="C19" s="174" t="s">
        <v>87</v>
      </c>
      <c r="D19" s="176" t="s">
        <v>49</v>
      </c>
      <c r="E19" s="9">
        <v>0</v>
      </c>
      <c r="F19" s="178" t="s">
        <v>44</v>
      </c>
      <c r="G19" s="178">
        <v>5</v>
      </c>
      <c r="H19" s="183" t="s">
        <v>361</v>
      </c>
    </row>
    <row r="20" spans="2:10" ht="21.9" customHeight="1">
      <c r="B20" s="188"/>
      <c r="C20" s="175"/>
      <c r="D20" s="177"/>
      <c r="E20" s="10">
        <v>5</v>
      </c>
      <c r="F20" s="179"/>
      <c r="G20" s="179"/>
      <c r="H20" s="184"/>
    </row>
    <row r="21" spans="2:10" ht="21.9" customHeight="1">
      <c r="B21" s="188"/>
      <c r="C21" s="175"/>
      <c r="D21" s="177"/>
      <c r="E21" s="11">
        <f>IF(F19="N/A","N/A",10)</f>
        <v>10</v>
      </c>
      <c r="F21" s="179"/>
      <c r="G21" s="179"/>
      <c r="H21" s="185"/>
    </row>
    <row r="22" spans="2:10" ht="24.9" customHeight="1">
      <c r="B22" s="188"/>
      <c r="C22" s="186" t="s">
        <v>73</v>
      </c>
      <c r="D22" s="176" t="s">
        <v>337</v>
      </c>
      <c r="E22" s="9">
        <v>0</v>
      </c>
      <c r="F22" s="178" t="s">
        <v>44</v>
      </c>
      <c r="G22" s="178">
        <v>10</v>
      </c>
      <c r="H22" s="180"/>
    </row>
    <row r="23" spans="2:10" ht="24.9" customHeight="1">
      <c r="B23" s="188"/>
      <c r="C23" s="175"/>
      <c r="D23" s="177"/>
      <c r="E23" s="10">
        <v>5</v>
      </c>
      <c r="F23" s="179"/>
      <c r="G23" s="179"/>
      <c r="H23" s="180"/>
    </row>
    <row r="24" spans="2:10" ht="24.9" customHeight="1">
      <c r="B24" s="188"/>
      <c r="C24" s="175"/>
      <c r="D24" s="177"/>
      <c r="E24" s="11">
        <f>IF(F22="N/A","N/A",10)</f>
        <v>10</v>
      </c>
      <c r="F24" s="179"/>
      <c r="G24" s="179"/>
      <c r="H24" s="180"/>
    </row>
    <row r="25" spans="2:10" ht="18" customHeight="1">
      <c r="B25" s="188"/>
      <c r="C25" s="186" t="s">
        <v>74</v>
      </c>
      <c r="D25" s="176" t="s">
        <v>68</v>
      </c>
      <c r="E25" s="9">
        <v>0</v>
      </c>
      <c r="F25" s="178" t="s">
        <v>44</v>
      </c>
      <c r="G25" s="178">
        <v>5</v>
      </c>
      <c r="H25" s="180"/>
    </row>
    <row r="26" spans="2:10" ht="18" customHeight="1">
      <c r="B26" s="188"/>
      <c r="C26" s="175"/>
      <c r="D26" s="177"/>
      <c r="E26" s="10">
        <v>2</v>
      </c>
      <c r="F26" s="179"/>
      <c r="G26" s="179"/>
      <c r="H26" s="180"/>
    </row>
    <row r="27" spans="2:10" ht="18" customHeight="1">
      <c r="B27" s="188"/>
      <c r="C27" s="175"/>
      <c r="D27" s="177"/>
      <c r="E27" s="11">
        <f>IF(F25="N/A","N/A",5)</f>
        <v>5</v>
      </c>
      <c r="F27" s="179"/>
      <c r="G27" s="179"/>
      <c r="H27" s="180"/>
    </row>
    <row r="28" spans="2:10" ht="24.9" customHeight="1">
      <c r="B28" s="188"/>
      <c r="C28" s="174" t="s">
        <v>75</v>
      </c>
      <c r="D28" s="176" t="s">
        <v>345</v>
      </c>
      <c r="E28" s="9">
        <v>0</v>
      </c>
      <c r="F28" s="178" t="s">
        <v>44</v>
      </c>
      <c r="G28" s="178">
        <v>10</v>
      </c>
      <c r="H28" s="180"/>
    </row>
    <row r="29" spans="2:10" ht="24.9" customHeight="1">
      <c r="B29" s="188"/>
      <c r="C29" s="175"/>
      <c r="D29" s="177"/>
      <c r="E29" s="10">
        <v>5</v>
      </c>
      <c r="F29" s="179"/>
      <c r="G29" s="179"/>
      <c r="H29" s="180"/>
    </row>
    <row r="30" spans="2:10" ht="24.9" customHeight="1">
      <c r="B30" s="188"/>
      <c r="C30" s="175"/>
      <c r="D30" s="177"/>
      <c r="E30" s="11">
        <f>IF(F28="N/A","N/A",10)</f>
        <v>10</v>
      </c>
      <c r="F30" s="179"/>
      <c r="G30" s="179"/>
      <c r="H30" s="180"/>
    </row>
    <row r="31" spans="2:10" ht="24.9" customHeight="1">
      <c r="B31" s="188"/>
      <c r="C31" s="174" t="s">
        <v>76</v>
      </c>
      <c r="D31" s="176" t="s">
        <v>54</v>
      </c>
      <c r="E31" s="9">
        <v>0</v>
      </c>
      <c r="F31" s="178" t="s">
        <v>44</v>
      </c>
      <c r="G31" s="178">
        <v>10</v>
      </c>
      <c r="H31" s="180"/>
    </row>
    <row r="32" spans="2:10" ht="24.9" customHeight="1">
      <c r="B32" s="188"/>
      <c r="C32" s="175"/>
      <c r="D32" s="177"/>
      <c r="E32" s="10">
        <v>5</v>
      </c>
      <c r="F32" s="179"/>
      <c r="G32" s="179"/>
      <c r="H32" s="180"/>
    </row>
    <row r="33" spans="2:8" ht="24.9" customHeight="1">
      <c r="B33" s="188"/>
      <c r="C33" s="175"/>
      <c r="D33" s="177"/>
      <c r="E33" s="11">
        <f>IF(F31="N/A","N/A",10)</f>
        <v>10</v>
      </c>
      <c r="F33" s="179"/>
      <c r="G33" s="179"/>
      <c r="H33" s="180"/>
    </row>
    <row r="34" spans="2:8" ht="21.9" customHeight="1">
      <c r="B34" s="188"/>
      <c r="C34" s="174" t="s">
        <v>77</v>
      </c>
      <c r="D34" s="176" t="s">
        <v>47</v>
      </c>
      <c r="E34" s="9">
        <v>0</v>
      </c>
      <c r="F34" s="178" t="s">
        <v>44</v>
      </c>
      <c r="G34" s="178">
        <v>5</v>
      </c>
      <c r="H34" s="180"/>
    </row>
    <row r="35" spans="2:8" ht="21.9" customHeight="1">
      <c r="B35" s="188"/>
      <c r="C35" s="175"/>
      <c r="D35" s="177"/>
      <c r="E35" s="10">
        <v>2</v>
      </c>
      <c r="F35" s="179"/>
      <c r="G35" s="179"/>
      <c r="H35" s="180"/>
    </row>
    <row r="36" spans="2:8" ht="21.9" customHeight="1">
      <c r="B36" s="188"/>
      <c r="C36" s="175"/>
      <c r="D36" s="177"/>
      <c r="E36" s="11">
        <f>IF(F34="N/A","N/A",5)</f>
        <v>5</v>
      </c>
      <c r="F36" s="179"/>
      <c r="G36" s="179"/>
      <c r="H36" s="180"/>
    </row>
    <row r="37" spans="2:8" ht="21.9" customHeight="1">
      <c r="B37" s="188"/>
      <c r="C37" s="174" t="s">
        <v>78</v>
      </c>
      <c r="D37" s="176" t="s">
        <v>53</v>
      </c>
      <c r="E37" s="9">
        <v>0</v>
      </c>
      <c r="F37" s="178" t="s">
        <v>44</v>
      </c>
      <c r="G37" s="178">
        <v>5</v>
      </c>
      <c r="H37" s="180"/>
    </row>
    <row r="38" spans="2:8" ht="21.9" customHeight="1">
      <c r="B38" s="188"/>
      <c r="C38" s="175"/>
      <c r="D38" s="177"/>
      <c r="E38" s="10">
        <v>2</v>
      </c>
      <c r="F38" s="179"/>
      <c r="G38" s="179"/>
      <c r="H38" s="180"/>
    </row>
    <row r="39" spans="2:8" ht="21.9" customHeight="1">
      <c r="B39" s="188"/>
      <c r="C39" s="175"/>
      <c r="D39" s="177"/>
      <c r="E39" s="11">
        <f>IF(F37="N/A","N/A",5)</f>
        <v>5</v>
      </c>
      <c r="F39" s="179"/>
      <c r="G39" s="179"/>
      <c r="H39" s="180"/>
    </row>
    <row r="40" spans="2:8" ht="21.9" customHeight="1">
      <c r="B40" s="188"/>
      <c r="C40" s="174" t="s">
        <v>79</v>
      </c>
      <c r="D40" s="176" t="s">
        <v>82</v>
      </c>
      <c r="E40" s="9">
        <v>0</v>
      </c>
      <c r="F40" s="178" t="s">
        <v>44</v>
      </c>
      <c r="G40" s="178">
        <v>5</v>
      </c>
      <c r="H40" s="180"/>
    </row>
    <row r="41" spans="2:8" ht="21.9" customHeight="1">
      <c r="B41" s="188"/>
      <c r="C41" s="175"/>
      <c r="D41" s="177"/>
      <c r="E41" s="10">
        <v>2</v>
      </c>
      <c r="F41" s="179"/>
      <c r="G41" s="179"/>
      <c r="H41" s="180"/>
    </row>
    <row r="42" spans="2:8" ht="21.9" customHeight="1">
      <c r="B42" s="188"/>
      <c r="C42" s="175"/>
      <c r="D42" s="177"/>
      <c r="E42" s="11">
        <f>IF(F40="N/A","N/A",5)</f>
        <v>5</v>
      </c>
      <c r="F42" s="179"/>
      <c r="G42" s="179"/>
      <c r="H42" s="180"/>
    </row>
    <row r="43" spans="2:8" ht="18" customHeight="1">
      <c r="B43" s="188"/>
      <c r="C43" s="174" t="s">
        <v>80</v>
      </c>
      <c r="D43" s="176" t="s">
        <v>55</v>
      </c>
      <c r="E43" s="9">
        <v>0</v>
      </c>
      <c r="F43" s="178" t="s">
        <v>44</v>
      </c>
      <c r="G43" s="178">
        <v>5</v>
      </c>
      <c r="H43" s="180"/>
    </row>
    <row r="44" spans="2:8" ht="18" customHeight="1">
      <c r="B44" s="188"/>
      <c r="C44" s="175"/>
      <c r="D44" s="177"/>
      <c r="E44" s="10">
        <v>2</v>
      </c>
      <c r="F44" s="179"/>
      <c r="G44" s="179"/>
      <c r="H44" s="180"/>
    </row>
    <row r="45" spans="2:8" ht="18" customHeight="1">
      <c r="B45" s="188"/>
      <c r="C45" s="175"/>
      <c r="D45" s="177"/>
      <c r="E45" s="11">
        <f>IF(F43="N/A","N/A",5)</f>
        <v>5</v>
      </c>
      <c r="F45" s="179"/>
      <c r="G45" s="179"/>
      <c r="H45" s="180"/>
    </row>
    <row r="46" spans="2:8" ht="21.9" customHeight="1">
      <c r="B46" s="188"/>
      <c r="C46" s="174" t="s">
        <v>81</v>
      </c>
      <c r="D46" s="176" t="s">
        <v>96</v>
      </c>
      <c r="E46" s="9">
        <v>0</v>
      </c>
      <c r="F46" s="178" t="s">
        <v>44</v>
      </c>
      <c r="G46" s="178">
        <v>5</v>
      </c>
      <c r="H46" s="180"/>
    </row>
    <row r="47" spans="2:8" ht="21.9" customHeight="1">
      <c r="B47" s="188"/>
      <c r="C47" s="175"/>
      <c r="D47" s="177"/>
      <c r="E47" s="10">
        <v>2</v>
      </c>
      <c r="F47" s="179"/>
      <c r="G47" s="179"/>
      <c r="H47" s="180"/>
    </row>
    <row r="48" spans="2:8" ht="21.9" customHeight="1">
      <c r="B48" s="201"/>
      <c r="C48" s="175"/>
      <c r="D48" s="177"/>
      <c r="E48" s="11">
        <f>IF(F46="N/A","N/A",5)</f>
        <v>5</v>
      </c>
      <c r="F48" s="179"/>
      <c r="G48" s="179"/>
      <c r="H48" s="180"/>
    </row>
    <row r="49" spans="2:8" ht="3.9" customHeight="1" thickBot="1">
      <c r="B49" s="19"/>
      <c r="C49" s="14"/>
      <c r="D49" s="15"/>
      <c r="E49" s="16"/>
      <c r="F49" s="17"/>
      <c r="G49" s="17"/>
      <c r="H49" s="18"/>
    </row>
    <row r="50" spans="2:8" ht="21.75" customHeight="1" thickTop="1" thickBot="1">
      <c r="B50" s="181" t="s">
        <v>51</v>
      </c>
      <c r="C50" s="182"/>
      <c r="D50" s="182"/>
      <c r="E50" s="182"/>
      <c r="F50" s="182"/>
      <c r="G50" s="13">
        <f>SUM(G51:G86)</f>
        <v>67</v>
      </c>
      <c r="H50" s="20">
        <f>(100*G50)/SUM((E53,E56,E59,E62,E65,E68,E71,E74,E77,E80,E83,E86))</f>
        <v>78.82352941176471</v>
      </c>
    </row>
    <row r="51" spans="2:8" ht="21.75" customHeight="1" thickTop="1">
      <c r="B51" s="209" t="s">
        <v>98</v>
      </c>
      <c r="C51" s="186" t="s">
        <v>59</v>
      </c>
      <c r="D51" s="176" t="s">
        <v>354</v>
      </c>
      <c r="E51" s="9">
        <v>0</v>
      </c>
      <c r="F51" s="178" t="s">
        <v>44</v>
      </c>
      <c r="G51" s="178">
        <v>10</v>
      </c>
      <c r="H51" s="180"/>
    </row>
    <row r="52" spans="2:8" ht="21.75" customHeight="1">
      <c r="B52" s="210"/>
      <c r="C52" s="175"/>
      <c r="D52" s="177"/>
      <c r="E52" s="10">
        <v>5</v>
      </c>
      <c r="F52" s="179"/>
      <c r="G52" s="179"/>
      <c r="H52" s="180"/>
    </row>
    <row r="53" spans="2:8" ht="21.75" customHeight="1">
      <c r="B53" s="210"/>
      <c r="C53" s="175"/>
      <c r="D53" s="177"/>
      <c r="E53" s="11">
        <f>IF(F51="N/A","N/A",10)</f>
        <v>10</v>
      </c>
      <c r="F53" s="179"/>
      <c r="G53" s="179"/>
      <c r="H53" s="180"/>
    </row>
    <row r="54" spans="2:8" ht="27" customHeight="1">
      <c r="B54" s="210"/>
      <c r="C54" s="186" t="s">
        <v>60</v>
      </c>
      <c r="D54" s="176" t="s">
        <v>355</v>
      </c>
      <c r="E54" s="9">
        <v>0</v>
      </c>
      <c r="F54" s="178" t="s">
        <v>44</v>
      </c>
      <c r="G54" s="178">
        <v>5</v>
      </c>
      <c r="H54" s="183" t="s">
        <v>356</v>
      </c>
    </row>
    <row r="55" spans="2:8" ht="27" customHeight="1">
      <c r="B55" s="210"/>
      <c r="C55" s="175"/>
      <c r="D55" s="177"/>
      <c r="E55" s="10">
        <v>5</v>
      </c>
      <c r="F55" s="179"/>
      <c r="G55" s="179"/>
      <c r="H55" s="184"/>
    </row>
    <row r="56" spans="2:8" ht="27" customHeight="1">
      <c r="B56" s="210"/>
      <c r="C56" s="175"/>
      <c r="D56" s="177"/>
      <c r="E56" s="11">
        <f>IF(F54="N/A","N/A",10)</f>
        <v>10</v>
      </c>
      <c r="F56" s="179"/>
      <c r="G56" s="179"/>
      <c r="H56" s="185"/>
    </row>
    <row r="57" spans="2:8" ht="27" customHeight="1">
      <c r="B57" s="210"/>
      <c r="C57" s="186" t="s">
        <v>61</v>
      </c>
      <c r="D57" s="176" t="s">
        <v>100</v>
      </c>
      <c r="E57" s="9">
        <v>0</v>
      </c>
      <c r="F57" s="178" t="s">
        <v>44</v>
      </c>
      <c r="G57" s="178">
        <v>5</v>
      </c>
      <c r="H57" s="183" t="s">
        <v>353</v>
      </c>
    </row>
    <row r="58" spans="2:8" ht="27" customHeight="1">
      <c r="B58" s="210"/>
      <c r="C58" s="175"/>
      <c r="D58" s="177"/>
      <c r="E58" s="10">
        <v>5</v>
      </c>
      <c r="F58" s="179"/>
      <c r="G58" s="179"/>
      <c r="H58" s="184"/>
    </row>
    <row r="59" spans="2:8" ht="27" customHeight="1">
      <c r="B59" s="210"/>
      <c r="C59" s="175"/>
      <c r="D59" s="177"/>
      <c r="E59" s="11">
        <f>IF(F57="N/A","N/A",10)</f>
        <v>10</v>
      </c>
      <c r="F59" s="179"/>
      <c r="G59" s="179"/>
      <c r="H59" s="185"/>
    </row>
    <row r="60" spans="2:8" ht="27" customHeight="1">
      <c r="B60" s="210"/>
      <c r="C60" s="186" t="s">
        <v>62</v>
      </c>
      <c r="D60" s="176" t="s">
        <v>58</v>
      </c>
      <c r="E60" s="9">
        <v>0</v>
      </c>
      <c r="F60" s="178" t="s">
        <v>44</v>
      </c>
      <c r="G60" s="178">
        <v>5</v>
      </c>
      <c r="H60" s="212" t="s">
        <v>366</v>
      </c>
    </row>
    <row r="61" spans="2:8" ht="27" customHeight="1">
      <c r="B61" s="210"/>
      <c r="C61" s="175"/>
      <c r="D61" s="177"/>
      <c r="E61" s="10">
        <v>5</v>
      </c>
      <c r="F61" s="179"/>
      <c r="G61" s="179"/>
      <c r="H61" s="213"/>
    </row>
    <row r="62" spans="2:8" ht="27" customHeight="1">
      <c r="B62" s="210"/>
      <c r="C62" s="175"/>
      <c r="D62" s="177"/>
      <c r="E62" s="11">
        <f>IF(F60="N/A","N/A",10)</f>
        <v>10</v>
      </c>
      <c r="F62" s="179"/>
      <c r="G62" s="179"/>
      <c r="H62" s="214"/>
    </row>
    <row r="63" spans="2:8" ht="18" customHeight="1">
      <c r="B63" s="210"/>
      <c r="C63" s="186" t="s">
        <v>89</v>
      </c>
      <c r="D63" s="176" t="s">
        <v>94</v>
      </c>
      <c r="E63" s="9">
        <v>0</v>
      </c>
      <c r="F63" s="178" t="s">
        <v>44</v>
      </c>
      <c r="G63" s="178">
        <v>2</v>
      </c>
      <c r="H63" s="212" t="s">
        <v>362</v>
      </c>
    </row>
    <row r="64" spans="2:8" ht="18" customHeight="1">
      <c r="B64" s="210"/>
      <c r="C64" s="175"/>
      <c r="D64" s="177"/>
      <c r="E64" s="10">
        <v>2</v>
      </c>
      <c r="F64" s="179"/>
      <c r="G64" s="179"/>
      <c r="H64" s="213"/>
    </row>
    <row r="65" spans="2:8" ht="18" customHeight="1">
      <c r="B65" s="210"/>
      <c r="C65" s="175"/>
      <c r="D65" s="177"/>
      <c r="E65" s="11">
        <f>IF(F63="N/A","N/A",5)</f>
        <v>5</v>
      </c>
      <c r="F65" s="179"/>
      <c r="G65" s="179"/>
      <c r="H65" s="214"/>
    </row>
    <row r="66" spans="2:8" ht="18" customHeight="1">
      <c r="B66" s="210"/>
      <c r="C66" s="186" t="s">
        <v>88</v>
      </c>
      <c r="D66" s="176" t="s">
        <v>64</v>
      </c>
      <c r="E66" s="9">
        <v>0</v>
      </c>
      <c r="F66" s="178" t="s">
        <v>44</v>
      </c>
      <c r="G66" s="178">
        <v>5</v>
      </c>
      <c r="H66" s="180"/>
    </row>
    <row r="67" spans="2:8" ht="18" customHeight="1">
      <c r="B67" s="210"/>
      <c r="C67" s="175"/>
      <c r="D67" s="177"/>
      <c r="E67" s="10">
        <v>2</v>
      </c>
      <c r="F67" s="179"/>
      <c r="G67" s="179"/>
      <c r="H67" s="180"/>
    </row>
    <row r="68" spans="2:8" ht="18" customHeight="1">
      <c r="B68" s="210"/>
      <c r="C68" s="175"/>
      <c r="D68" s="177"/>
      <c r="E68" s="11">
        <f>IF(F66="N/A","N/A",5)</f>
        <v>5</v>
      </c>
      <c r="F68" s="179"/>
      <c r="G68" s="179"/>
      <c r="H68" s="180"/>
    </row>
    <row r="69" spans="2:8" ht="18" customHeight="1">
      <c r="B69" s="210"/>
      <c r="C69" s="174" t="s">
        <v>90</v>
      </c>
      <c r="D69" s="176" t="s">
        <v>63</v>
      </c>
      <c r="E69" s="9">
        <v>0</v>
      </c>
      <c r="F69" s="178" t="s">
        <v>44</v>
      </c>
      <c r="G69" s="178">
        <v>5</v>
      </c>
      <c r="H69" s="180"/>
    </row>
    <row r="70" spans="2:8" ht="18" customHeight="1">
      <c r="B70" s="210"/>
      <c r="C70" s="175"/>
      <c r="D70" s="177"/>
      <c r="E70" s="10">
        <v>2</v>
      </c>
      <c r="F70" s="179"/>
      <c r="G70" s="179"/>
      <c r="H70" s="180"/>
    </row>
    <row r="71" spans="2:8" ht="18" customHeight="1">
      <c r="B71" s="210"/>
      <c r="C71" s="175"/>
      <c r="D71" s="177"/>
      <c r="E71" s="11">
        <f>IF(F69="N/A","N/A",5)</f>
        <v>5</v>
      </c>
      <c r="F71" s="179"/>
      <c r="G71" s="179"/>
      <c r="H71" s="180"/>
    </row>
    <row r="72" spans="2:8" ht="27" customHeight="1">
      <c r="B72" s="210"/>
      <c r="C72" s="174" t="s">
        <v>65</v>
      </c>
      <c r="D72" s="176" t="s">
        <v>84</v>
      </c>
      <c r="E72" s="9">
        <v>0</v>
      </c>
      <c r="F72" s="178" t="s">
        <v>44</v>
      </c>
      <c r="G72" s="178">
        <v>10</v>
      </c>
      <c r="H72" s="180"/>
    </row>
    <row r="73" spans="2:8" ht="27" customHeight="1">
      <c r="B73" s="210"/>
      <c r="C73" s="175"/>
      <c r="D73" s="177"/>
      <c r="E73" s="10">
        <v>5</v>
      </c>
      <c r="F73" s="179"/>
      <c r="G73" s="179"/>
      <c r="H73" s="180"/>
    </row>
    <row r="74" spans="2:8" ht="27" customHeight="1">
      <c r="B74" s="210"/>
      <c r="C74" s="175"/>
      <c r="D74" s="177"/>
      <c r="E74" s="11">
        <f>IF(F72="N/A","N/A",10)</f>
        <v>10</v>
      </c>
      <c r="F74" s="179"/>
      <c r="G74" s="179"/>
      <c r="H74" s="180"/>
    </row>
    <row r="75" spans="2:8" ht="21.9" customHeight="1">
      <c r="B75" s="210"/>
      <c r="C75" s="174" t="s">
        <v>91</v>
      </c>
      <c r="D75" s="176" t="s">
        <v>83</v>
      </c>
      <c r="E75" s="9">
        <v>0</v>
      </c>
      <c r="F75" s="178" t="s">
        <v>44</v>
      </c>
      <c r="G75" s="178">
        <v>5</v>
      </c>
      <c r="H75" s="180"/>
    </row>
    <row r="76" spans="2:8" ht="21.9" customHeight="1">
      <c r="B76" s="210"/>
      <c r="C76" s="175"/>
      <c r="D76" s="177"/>
      <c r="E76" s="10">
        <v>2</v>
      </c>
      <c r="F76" s="179"/>
      <c r="G76" s="179"/>
      <c r="H76" s="180"/>
    </row>
    <row r="77" spans="2:8" ht="21.9" customHeight="1">
      <c r="B77" s="210"/>
      <c r="C77" s="175"/>
      <c r="D77" s="177"/>
      <c r="E77" s="11">
        <f>IF(F75="N/A","N/A",5)</f>
        <v>5</v>
      </c>
      <c r="F77" s="179"/>
      <c r="G77" s="179"/>
      <c r="H77" s="180"/>
    </row>
    <row r="78" spans="2:8" ht="18" customHeight="1">
      <c r="B78" s="210"/>
      <c r="C78" s="174" t="s">
        <v>92</v>
      </c>
      <c r="D78" s="176" t="s">
        <v>85</v>
      </c>
      <c r="E78" s="9">
        <v>0</v>
      </c>
      <c r="F78" s="178" t="s">
        <v>44</v>
      </c>
      <c r="G78" s="178">
        <v>5</v>
      </c>
      <c r="H78" s="180"/>
    </row>
    <row r="79" spans="2:8" ht="18" customHeight="1">
      <c r="B79" s="210"/>
      <c r="C79" s="175"/>
      <c r="D79" s="177"/>
      <c r="E79" s="10">
        <v>2</v>
      </c>
      <c r="F79" s="179"/>
      <c r="G79" s="179"/>
      <c r="H79" s="180"/>
    </row>
    <row r="80" spans="2:8" ht="18" customHeight="1">
      <c r="B80" s="210"/>
      <c r="C80" s="175"/>
      <c r="D80" s="177"/>
      <c r="E80" s="11">
        <f>IF(F78="N/A","N/A",5)</f>
        <v>5</v>
      </c>
      <c r="F80" s="179"/>
      <c r="G80" s="179"/>
      <c r="H80" s="180"/>
    </row>
    <row r="81" spans="2:8" ht="18" customHeight="1">
      <c r="B81" s="210"/>
      <c r="C81" s="174" t="s">
        <v>93</v>
      </c>
      <c r="D81" s="176" t="s">
        <v>86</v>
      </c>
      <c r="E81" s="9">
        <v>0</v>
      </c>
      <c r="F81" s="178" t="s">
        <v>44</v>
      </c>
      <c r="G81" s="178">
        <v>5</v>
      </c>
      <c r="H81" s="180"/>
    </row>
    <row r="82" spans="2:8" ht="18" customHeight="1">
      <c r="B82" s="210"/>
      <c r="C82" s="175"/>
      <c r="D82" s="177"/>
      <c r="E82" s="10">
        <v>2</v>
      </c>
      <c r="F82" s="179"/>
      <c r="G82" s="179"/>
      <c r="H82" s="180"/>
    </row>
    <row r="83" spans="2:8" ht="18" customHeight="1">
      <c r="B83" s="210"/>
      <c r="C83" s="175"/>
      <c r="D83" s="177"/>
      <c r="E83" s="11">
        <f>IF(F81="N/A","N/A",5)</f>
        <v>5</v>
      </c>
      <c r="F83" s="179"/>
      <c r="G83" s="179"/>
      <c r="H83" s="180"/>
    </row>
    <row r="84" spans="2:8" ht="21.9" customHeight="1">
      <c r="B84" s="210"/>
      <c r="C84" s="174" t="s">
        <v>95</v>
      </c>
      <c r="D84" s="176" t="s">
        <v>97</v>
      </c>
      <c r="E84" s="9">
        <v>0</v>
      </c>
      <c r="F84" s="178" t="s">
        <v>44</v>
      </c>
      <c r="G84" s="178">
        <v>5</v>
      </c>
      <c r="H84" s="180"/>
    </row>
    <row r="85" spans="2:8" ht="21.9" customHeight="1">
      <c r="B85" s="210"/>
      <c r="C85" s="175"/>
      <c r="D85" s="177"/>
      <c r="E85" s="10">
        <v>2</v>
      </c>
      <c r="F85" s="179"/>
      <c r="G85" s="179"/>
      <c r="H85" s="180"/>
    </row>
    <row r="86" spans="2:8" ht="21.9" customHeight="1" thickBot="1">
      <c r="B86" s="210"/>
      <c r="C86" s="175"/>
      <c r="D86" s="177"/>
      <c r="E86" s="11">
        <f>IF(F84="N/A","N/A",5)</f>
        <v>5</v>
      </c>
      <c r="F86" s="179"/>
      <c r="G86" s="179"/>
      <c r="H86" s="180"/>
    </row>
    <row r="87" spans="2:8" ht="21.75" customHeight="1" thickTop="1" thickBot="1">
      <c r="B87" s="181" t="s">
        <v>101</v>
      </c>
      <c r="C87" s="182"/>
      <c r="D87" s="182"/>
      <c r="E87" s="182"/>
      <c r="F87" s="182"/>
      <c r="G87" s="13">
        <f>SUM(G88:G150)</f>
        <v>116</v>
      </c>
      <c r="H87" s="20">
        <f>(100*G87)/SUM((E90,E93,E96,E99,E102,E105,E108,E111,E114,E117,E120,E123,E126,E129,E132,E135,E138,E141,E144,E147,E150))</f>
        <v>85.925925925925924</v>
      </c>
    </row>
    <row r="88" spans="2:8" ht="24.9" customHeight="1" thickTop="1">
      <c r="B88" s="209" t="s">
        <v>102</v>
      </c>
      <c r="C88" s="174" t="s">
        <v>69</v>
      </c>
      <c r="D88" s="176" t="s">
        <v>103</v>
      </c>
      <c r="E88" s="9">
        <v>0</v>
      </c>
      <c r="F88" s="178" t="s">
        <v>44</v>
      </c>
      <c r="G88" s="178">
        <v>10</v>
      </c>
      <c r="H88" s="180"/>
    </row>
    <row r="89" spans="2:8" ht="24.9" customHeight="1">
      <c r="B89" s="210"/>
      <c r="C89" s="175"/>
      <c r="D89" s="177"/>
      <c r="E89" s="10">
        <v>5</v>
      </c>
      <c r="F89" s="179"/>
      <c r="G89" s="179"/>
      <c r="H89" s="180"/>
    </row>
    <row r="90" spans="2:8" ht="24.9" customHeight="1">
      <c r="B90" s="210"/>
      <c r="C90" s="175"/>
      <c r="D90" s="177"/>
      <c r="E90" s="11">
        <f>IF(F88="N/A","N/A",10)</f>
        <v>10</v>
      </c>
      <c r="F90" s="179"/>
      <c r="G90" s="179"/>
      <c r="H90" s="180"/>
    </row>
    <row r="91" spans="2:8" ht="24.9" customHeight="1">
      <c r="B91" s="210"/>
      <c r="C91" s="174" t="s">
        <v>70</v>
      </c>
      <c r="D91" s="176" t="s">
        <v>104</v>
      </c>
      <c r="E91" s="9">
        <v>0</v>
      </c>
      <c r="F91" s="178" t="s">
        <v>44</v>
      </c>
      <c r="G91" s="178">
        <v>5</v>
      </c>
      <c r="H91" s="183"/>
    </row>
    <row r="92" spans="2:8" ht="24.9" customHeight="1">
      <c r="B92" s="210"/>
      <c r="C92" s="175"/>
      <c r="D92" s="177"/>
      <c r="E92" s="10">
        <v>2</v>
      </c>
      <c r="F92" s="179"/>
      <c r="G92" s="179"/>
      <c r="H92" s="184"/>
    </row>
    <row r="93" spans="2:8" ht="24.9" customHeight="1">
      <c r="B93" s="210"/>
      <c r="C93" s="175"/>
      <c r="D93" s="177"/>
      <c r="E93" s="11">
        <f>IF(F91="N/A","N/A",5)</f>
        <v>5</v>
      </c>
      <c r="F93" s="179"/>
      <c r="G93" s="179"/>
      <c r="H93" s="185"/>
    </row>
    <row r="94" spans="2:8" ht="21.9" customHeight="1">
      <c r="B94" s="210"/>
      <c r="C94" s="174" t="s">
        <v>71</v>
      </c>
      <c r="D94" s="176" t="s">
        <v>105</v>
      </c>
      <c r="E94" s="9">
        <v>0</v>
      </c>
      <c r="F94" s="178" t="s">
        <v>44</v>
      </c>
      <c r="G94" s="178">
        <v>5</v>
      </c>
      <c r="H94" s="183" t="s">
        <v>351</v>
      </c>
    </row>
    <row r="95" spans="2:8" ht="21.9" customHeight="1">
      <c r="B95" s="210"/>
      <c r="C95" s="175"/>
      <c r="D95" s="177"/>
      <c r="E95" s="10">
        <v>5</v>
      </c>
      <c r="F95" s="179"/>
      <c r="G95" s="179"/>
      <c r="H95" s="184"/>
    </row>
    <row r="96" spans="2:8" ht="21.9" customHeight="1">
      <c r="B96" s="210"/>
      <c r="C96" s="175"/>
      <c r="D96" s="177"/>
      <c r="E96" s="11">
        <f>IF(F94="N/A","N/A",10)</f>
        <v>10</v>
      </c>
      <c r="F96" s="179"/>
      <c r="G96" s="179"/>
      <c r="H96" s="185"/>
    </row>
    <row r="97" spans="2:8" ht="21.9" customHeight="1">
      <c r="B97" s="210"/>
      <c r="C97" s="174" t="s">
        <v>72</v>
      </c>
      <c r="D97" s="176" t="s">
        <v>106</v>
      </c>
      <c r="E97" s="9">
        <v>0</v>
      </c>
      <c r="F97" s="178" t="s">
        <v>44</v>
      </c>
      <c r="G97" s="178">
        <v>5</v>
      </c>
      <c r="H97" s="183" t="s">
        <v>363</v>
      </c>
    </row>
    <row r="98" spans="2:8" ht="21.9" customHeight="1">
      <c r="B98" s="210"/>
      <c r="C98" s="175"/>
      <c r="D98" s="177"/>
      <c r="E98" s="10">
        <v>5</v>
      </c>
      <c r="F98" s="179"/>
      <c r="G98" s="179"/>
      <c r="H98" s="184"/>
    </row>
    <row r="99" spans="2:8" ht="21.9" customHeight="1">
      <c r="B99" s="210"/>
      <c r="C99" s="175"/>
      <c r="D99" s="177"/>
      <c r="E99" s="11">
        <f>IF(F97="N/A","N/A",10)</f>
        <v>10</v>
      </c>
      <c r="F99" s="179"/>
      <c r="G99" s="179"/>
      <c r="H99" s="185"/>
    </row>
    <row r="100" spans="2:8" ht="18" customHeight="1">
      <c r="B100" s="210"/>
      <c r="C100" s="186" t="s">
        <v>108</v>
      </c>
      <c r="D100" s="176" t="s">
        <v>107</v>
      </c>
      <c r="E100" s="9">
        <v>0</v>
      </c>
      <c r="F100" s="178" t="s">
        <v>44</v>
      </c>
      <c r="G100" s="178">
        <v>10</v>
      </c>
      <c r="H100" s="180"/>
    </row>
    <row r="101" spans="2:8" ht="18" customHeight="1">
      <c r="B101" s="210"/>
      <c r="C101" s="175"/>
      <c r="D101" s="177"/>
      <c r="E101" s="10">
        <v>5</v>
      </c>
      <c r="F101" s="179"/>
      <c r="G101" s="179"/>
      <c r="H101" s="180"/>
    </row>
    <row r="102" spans="2:8" ht="18" customHeight="1">
      <c r="B102" s="210"/>
      <c r="C102" s="175"/>
      <c r="D102" s="177"/>
      <c r="E102" s="11">
        <f>IF(F100="N/A","N/A",10)</f>
        <v>10</v>
      </c>
      <c r="F102" s="179"/>
      <c r="G102" s="179"/>
      <c r="H102" s="180"/>
    </row>
    <row r="103" spans="2:8" ht="21.9" customHeight="1">
      <c r="B103" s="210"/>
      <c r="C103" s="186" t="s">
        <v>110</v>
      </c>
      <c r="D103" s="176" t="s">
        <v>339</v>
      </c>
      <c r="E103" s="9">
        <v>0</v>
      </c>
      <c r="F103" s="178" t="s">
        <v>44</v>
      </c>
      <c r="G103" s="178">
        <v>10</v>
      </c>
      <c r="H103" s="183"/>
    </row>
    <row r="104" spans="2:8" ht="21.9" customHeight="1">
      <c r="B104" s="210"/>
      <c r="C104" s="175"/>
      <c r="D104" s="177"/>
      <c r="E104" s="10">
        <v>5</v>
      </c>
      <c r="F104" s="179"/>
      <c r="G104" s="179"/>
      <c r="H104" s="184"/>
    </row>
    <row r="105" spans="2:8" ht="21.9" customHeight="1">
      <c r="B105" s="210"/>
      <c r="C105" s="175"/>
      <c r="D105" s="177"/>
      <c r="E105" s="11">
        <f>IF(F103="N/A","N/A",10)</f>
        <v>10</v>
      </c>
      <c r="F105" s="179"/>
      <c r="G105" s="179"/>
      <c r="H105" s="185"/>
    </row>
    <row r="106" spans="2:8" ht="21.9" customHeight="1">
      <c r="B106" s="210"/>
      <c r="C106" s="186" t="s">
        <v>111</v>
      </c>
      <c r="D106" s="176" t="s">
        <v>109</v>
      </c>
      <c r="E106" s="9">
        <v>0</v>
      </c>
      <c r="F106" s="178" t="s">
        <v>44</v>
      </c>
      <c r="G106" s="178">
        <v>2</v>
      </c>
      <c r="H106" s="183" t="s">
        <v>364</v>
      </c>
    </row>
    <row r="107" spans="2:8" ht="21.9" customHeight="1">
      <c r="B107" s="210"/>
      <c r="C107" s="175"/>
      <c r="D107" s="177"/>
      <c r="E107" s="10">
        <v>2</v>
      </c>
      <c r="F107" s="179"/>
      <c r="G107" s="179"/>
      <c r="H107" s="184"/>
    </row>
    <row r="108" spans="2:8" ht="21.9" customHeight="1">
      <c r="B108" s="210"/>
      <c r="C108" s="175"/>
      <c r="D108" s="177"/>
      <c r="E108" s="11">
        <f>IF(F106="N/A","N/A",5)</f>
        <v>5</v>
      </c>
      <c r="F108" s="179"/>
      <c r="G108" s="179"/>
      <c r="H108" s="185"/>
    </row>
    <row r="109" spans="2:8" ht="24.9" customHeight="1">
      <c r="B109" s="210"/>
      <c r="C109" s="186" t="s">
        <v>113</v>
      </c>
      <c r="D109" s="176" t="s">
        <v>112</v>
      </c>
      <c r="E109" s="9">
        <v>0</v>
      </c>
      <c r="F109" s="178" t="s">
        <v>44</v>
      </c>
      <c r="G109" s="178">
        <v>10</v>
      </c>
      <c r="H109" s="180"/>
    </row>
    <row r="110" spans="2:8" ht="24.9" customHeight="1">
      <c r="B110" s="210"/>
      <c r="C110" s="175"/>
      <c r="D110" s="177"/>
      <c r="E110" s="10">
        <v>5</v>
      </c>
      <c r="F110" s="179"/>
      <c r="G110" s="179"/>
      <c r="H110" s="180"/>
    </row>
    <row r="111" spans="2:8" ht="24.9" customHeight="1">
      <c r="B111" s="210"/>
      <c r="C111" s="175"/>
      <c r="D111" s="177"/>
      <c r="E111" s="11">
        <f>IF(F109="N/A","N/A",10)</f>
        <v>10</v>
      </c>
      <c r="F111" s="179"/>
      <c r="G111" s="179"/>
      <c r="H111" s="180"/>
    </row>
    <row r="112" spans="2:8" ht="24.9" customHeight="1">
      <c r="B112" s="210"/>
      <c r="C112" s="186" t="s">
        <v>114</v>
      </c>
      <c r="D112" s="176" t="s">
        <v>342</v>
      </c>
      <c r="E112" s="9">
        <v>0</v>
      </c>
      <c r="F112" s="178" t="s">
        <v>44</v>
      </c>
      <c r="G112" s="178">
        <v>10</v>
      </c>
      <c r="H112" s="180"/>
    </row>
    <row r="113" spans="2:8" ht="24.9" customHeight="1">
      <c r="B113" s="210"/>
      <c r="C113" s="175"/>
      <c r="D113" s="177"/>
      <c r="E113" s="10">
        <v>5</v>
      </c>
      <c r="F113" s="179"/>
      <c r="G113" s="179"/>
      <c r="H113" s="180"/>
    </row>
    <row r="114" spans="2:8" ht="24.9" customHeight="1">
      <c r="B114" s="210"/>
      <c r="C114" s="175"/>
      <c r="D114" s="177"/>
      <c r="E114" s="11">
        <f>IF(F112="N/A","N/A",10)</f>
        <v>10</v>
      </c>
      <c r="F114" s="179"/>
      <c r="G114" s="179"/>
      <c r="H114" s="180"/>
    </row>
    <row r="115" spans="2:8" ht="24.9" customHeight="1">
      <c r="B115" s="210"/>
      <c r="C115" s="186" t="s">
        <v>115</v>
      </c>
      <c r="D115" s="176" t="s">
        <v>119</v>
      </c>
      <c r="E115" s="9">
        <v>0</v>
      </c>
      <c r="F115" s="178" t="s">
        <v>44</v>
      </c>
      <c r="G115" s="178">
        <v>5</v>
      </c>
      <c r="H115" s="180"/>
    </row>
    <row r="116" spans="2:8" ht="24.9" customHeight="1">
      <c r="B116" s="210"/>
      <c r="C116" s="175"/>
      <c r="D116" s="177"/>
      <c r="E116" s="10">
        <v>2</v>
      </c>
      <c r="F116" s="179"/>
      <c r="G116" s="179"/>
      <c r="H116" s="180"/>
    </row>
    <row r="117" spans="2:8" ht="24.9" customHeight="1">
      <c r="B117" s="210"/>
      <c r="C117" s="175"/>
      <c r="D117" s="177"/>
      <c r="E117" s="11">
        <f>IF(F115="N/A","N/A",5)</f>
        <v>5</v>
      </c>
      <c r="F117" s="179"/>
      <c r="G117" s="179"/>
      <c r="H117" s="180"/>
    </row>
    <row r="118" spans="2:8" ht="30" customHeight="1">
      <c r="B118" s="210"/>
      <c r="C118" s="174" t="s">
        <v>116</v>
      </c>
      <c r="D118" s="176" t="s">
        <v>128</v>
      </c>
      <c r="E118" s="9">
        <v>0</v>
      </c>
      <c r="F118" s="178" t="s">
        <v>44</v>
      </c>
      <c r="G118" s="178">
        <v>10</v>
      </c>
      <c r="H118" s="180"/>
    </row>
    <row r="119" spans="2:8" ht="30" customHeight="1">
      <c r="B119" s="210"/>
      <c r="C119" s="175"/>
      <c r="D119" s="177"/>
      <c r="E119" s="10">
        <v>5</v>
      </c>
      <c r="F119" s="179"/>
      <c r="G119" s="179"/>
      <c r="H119" s="180"/>
    </row>
    <row r="120" spans="2:8" ht="30" customHeight="1">
      <c r="B120" s="210"/>
      <c r="C120" s="175"/>
      <c r="D120" s="177"/>
      <c r="E120" s="11">
        <f>IF(F118="N/A","N/A",10)</f>
        <v>10</v>
      </c>
      <c r="F120" s="179"/>
      <c r="G120" s="179"/>
      <c r="H120" s="180"/>
    </row>
    <row r="121" spans="2:8" ht="24.9" customHeight="1">
      <c r="B121" s="210"/>
      <c r="C121" s="174" t="s">
        <v>117</v>
      </c>
      <c r="D121" s="176" t="s">
        <v>118</v>
      </c>
      <c r="E121" s="9">
        <v>0</v>
      </c>
      <c r="F121" s="178" t="s">
        <v>343</v>
      </c>
      <c r="G121" s="178"/>
      <c r="H121" s="180"/>
    </row>
    <row r="122" spans="2:8" ht="24.9" customHeight="1">
      <c r="B122" s="210"/>
      <c r="C122" s="175"/>
      <c r="D122" s="177"/>
      <c r="E122" s="10">
        <v>5</v>
      </c>
      <c r="F122" s="179"/>
      <c r="G122" s="179"/>
      <c r="H122" s="180"/>
    </row>
    <row r="123" spans="2:8" ht="24.9" customHeight="1">
      <c r="B123" s="210"/>
      <c r="C123" s="175"/>
      <c r="D123" s="177"/>
      <c r="E123" s="11" t="str">
        <f>IF(F121="N/A","N/A",10)</f>
        <v>N/A</v>
      </c>
      <c r="F123" s="179"/>
      <c r="G123" s="179"/>
      <c r="H123" s="180"/>
    </row>
    <row r="124" spans="2:8" ht="21.9" customHeight="1">
      <c r="B124" s="210"/>
      <c r="C124" s="174" t="s">
        <v>120</v>
      </c>
      <c r="D124" s="176" t="s">
        <v>137</v>
      </c>
      <c r="E124" s="9">
        <v>0</v>
      </c>
      <c r="F124" s="178" t="s">
        <v>44</v>
      </c>
      <c r="G124" s="178">
        <v>5</v>
      </c>
      <c r="H124" s="180"/>
    </row>
    <row r="125" spans="2:8" ht="21.9" customHeight="1">
      <c r="B125" s="210"/>
      <c r="C125" s="175"/>
      <c r="D125" s="177"/>
      <c r="E125" s="10">
        <v>2</v>
      </c>
      <c r="F125" s="179"/>
      <c r="G125" s="179"/>
      <c r="H125" s="180"/>
    </row>
    <row r="126" spans="2:8" ht="21.9" customHeight="1">
      <c r="B126" s="210"/>
      <c r="C126" s="175"/>
      <c r="D126" s="177"/>
      <c r="E126" s="11">
        <f>IF(F124="N/A","N/A",5)</f>
        <v>5</v>
      </c>
      <c r="F126" s="179"/>
      <c r="G126" s="179"/>
      <c r="H126" s="180"/>
    </row>
    <row r="127" spans="2:8" ht="24.9" customHeight="1">
      <c r="B127" s="210"/>
      <c r="C127" s="174" t="s">
        <v>121</v>
      </c>
      <c r="D127" s="176" t="s">
        <v>122</v>
      </c>
      <c r="E127" s="9">
        <v>0</v>
      </c>
      <c r="F127" s="178" t="s">
        <v>44</v>
      </c>
      <c r="G127" s="178">
        <v>2</v>
      </c>
      <c r="H127" s="183" t="s">
        <v>365</v>
      </c>
    </row>
    <row r="128" spans="2:8" ht="24.9" customHeight="1">
      <c r="B128" s="210"/>
      <c r="C128" s="175"/>
      <c r="D128" s="177"/>
      <c r="E128" s="10">
        <v>2</v>
      </c>
      <c r="F128" s="179"/>
      <c r="G128" s="179"/>
      <c r="H128" s="184"/>
    </row>
    <row r="129" spans="2:8" ht="24.9" customHeight="1">
      <c r="B129" s="210"/>
      <c r="C129" s="175"/>
      <c r="D129" s="177"/>
      <c r="E129" s="11">
        <f>IF(F127="N/A","N/A",5)</f>
        <v>5</v>
      </c>
      <c r="F129" s="179"/>
      <c r="G129" s="179"/>
      <c r="H129" s="185"/>
    </row>
    <row r="130" spans="2:8" ht="24.9" customHeight="1">
      <c r="B130" s="210"/>
      <c r="C130" s="174" t="s">
        <v>123</v>
      </c>
      <c r="D130" s="176" t="s">
        <v>124</v>
      </c>
      <c r="E130" s="9">
        <v>0</v>
      </c>
      <c r="F130" s="178" t="s">
        <v>44</v>
      </c>
      <c r="G130" s="178">
        <v>5</v>
      </c>
      <c r="H130" s="180"/>
    </row>
    <row r="131" spans="2:8" ht="24.9" customHeight="1">
      <c r="B131" s="210"/>
      <c r="C131" s="175"/>
      <c r="D131" s="177"/>
      <c r="E131" s="10">
        <v>2</v>
      </c>
      <c r="F131" s="179"/>
      <c r="G131" s="179"/>
      <c r="H131" s="180"/>
    </row>
    <row r="132" spans="2:8" ht="24.9" customHeight="1">
      <c r="B132" s="210"/>
      <c r="C132" s="175"/>
      <c r="D132" s="177"/>
      <c r="E132" s="11">
        <f>IF(F130="N/A","N/A",5)</f>
        <v>5</v>
      </c>
      <c r="F132" s="179"/>
      <c r="G132" s="179"/>
      <c r="H132" s="180"/>
    </row>
    <row r="133" spans="2:8" ht="24.9" customHeight="1">
      <c r="B133" s="210"/>
      <c r="C133" s="174" t="s">
        <v>125</v>
      </c>
      <c r="D133" s="176" t="s">
        <v>126</v>
      </c>
      <c r="E133" s="9">
        <v>0</v>
      </c>
      <c r="F133" s="178" t="s">
        <v>44</v>
      </c>
      <c r="G133" s="178">
        <v>5</v>
      </c>
      <c r="H133" s="211"/>
    </row>
    <row r="134" spans="2:8" ht="24.9" customHeight="1">
      <c r="B134" s="210"/>
      <c r="C134" s="175"/>
      <c r="D134" s="177"/>
      <c r="E134" s="10">
        <v>2</v>
      </c>
      <c r="F134" s="179"/>
      <c r="G134" s="179"/>
      <c r="H134" s="211"/>
    </row>
    <row r="135" spans="2:8" ht="24.9" customHeight="1">
      <c r="B135" s="210"/>
      <c r="C135" s="175"/>
      <c r="D135" s="177"/>
      <c r="E135" s="11">
        <f>IF(F133="N/A","N/A",5)</f>
        <v>5</v>
      </c>
      <c r="F135" s="179"/>
      <c r="G135" s="179"/>
      <c r="H135" s="211"/>
    </row>
    <row r="136" spans="2:8" ht="24.9" customHeight="1">
      <c r="B136" s="210"/>
      <c r="C136" s="174" t="s">
        <v>127</v>
      </c>
      <c r="D136" s="176" t="s">
        <v>344</v>
      </c>
      <c r="E136" s="9">
        <v>0</v>
      </c>
      <c r="F136" s="178" t="s">
        <v>44</v>
      </c>
      <c r="G136" s="178">
        <v>5</v>
      </c>
      <c r="H136" s="180"/>
    </row>
    <row r="137" spans="2:8" ht="24.9" customHeight="1">
      <c r="B137" s="210"/>
      <c r="C137" s="175"/>
      <c r="D137" s="177"/>
      <c r="E137" s="10">
        <v>2</v>
      </c>
      <c r="F137" s="179"/>
      <c r="G137" s="179"/>
      <c r="H137" s="180"/>
    </row>
    <row r="138" spans="2:8" ht="24.9" customHeight="1">
      <c r="B138" s="210"/>
      <c r="C138" s="175"/>
      <c r="D138" s="177"/>
      <c r="E138" s="11">
        <f>IF(F136="N/A","N/A",5)</f>
        <v>5</v>
      </c>
      <c r="F138" s="179"/>
      <c r="G138" s="179"/>
      <c r="H138" s="180"/>
    </row>
    <row r="139" spans="2:8" ht="24.9" customHeight="1">
      <c r="B139" s="137"/>
      <c r="C139" s="186" t="s">
        <v>130</v>
      </c>
      <c r="D139" s="176" t="s">
        <v>129</v>
      </c>
      <c r="E139" s="9">
        <v>0</v>
      </c>
      <c r="F139" s="178" t="s">
        <v>44</v>
      </c>
      <c r="G139" s="178">
        <v>2</v>
      </c>
      <c r="H139" s="215" t="s">
        <v>357</v>
      </c>
    </row>
    <row r="140" spans="2:8" ht="24.9" customHeight="1">
      <c r="B140" s="137"/>
      <c r="C140" s="175"/>
      <c r="D140" s="177"/>
      <c r="E140" s="10">
        <v>2</v>
      </c>
      <c r="F140" s="179"/>
      <c r="G140" s="179"/>
      <c r="H140" s="180"/>
    </row>
    <row r="141" spans="2:8" ht="24.9" customHeight="1">
      <c r="B141" s="137"/>
      <c r="C141" s="175"/>
      <c r="D141" s="177"/>
      <c r="E141" s="11">
        <f>IF(F139="N/A","N/A",5)</f>
        <v>5</v>
      </c>
      <c r="F141" s="179"/>
      <c r="G141" s="179"/>
      <c r="H141" s="180"/>
    </row>
    <row r="142" spans="2:8" ht="18" customHeight="1">
      <c r="B142" s="137"/>
      <c r="C142" s="186" t="s">
        <v>131</v>
      </c>
      <c r="D142" s="176" t="s">
        <v>132</v>
      </c>
      <c r="E142" s="9">
        <v>0</v>
      </c>
      <c r="F142" s="178" t="s">
        <v>44</v>
      </c>
      <c r="G142" s="178">
        <v>5</v>
      </c>
      <c r="H142" s="180"/>
    </row>
    <row r="143" spans="2:8" ht="18" customHeight="1">
      <c r="B143" s="137"/>
      <c r="C143" s="175"/>
      <c r="D143" s="177"/>
      <c r="E143" s="10">
        <v>2</v>
      </c>
      <c r="F143" s="179"/>
      <c r="G143" s="179"/>
      <c r="H143" s="180"/>
    </row>
    <row r="144" spans="2:8" ht="18" customHeight="1">
      <c r="B144" s="137"/>
      <c r="C144" s="175"/>
      <c r="D144" s="177"/>
      <c r="E144" s="11">
        <f>IF(F142="N/A","N/A",5)</f>
        <v>5</v>
      </c>
      <c r="F144" s="179"/>
      <c r="G144" s="179"/>
      <c r="H144" s="180"/>
    </row>
    <row r="145" spans="2:8" ht="18" customHeight="1">
      <c r="B145" s="137"/>
      <c r="C145" s="186" t="s">
        <v>135</v>
      </c>
      <c r="D145" s="176" t="s">
        <v>134</v>
      </c>
      <c r="E145" s="9">
        <v>0</v>
      </c>
      <c r="F145" s="178" t="s">
        <v>44</v>
      </c>
      <c r="G145" s="178">
        <v>5</v>
      </c>
      <c r="H145" s="180"/>
    </row>
    <row r="146" spans="2:8" ht="18" customHeight="1">
      <c r="B146" s="137"/>
      <c r="C146" s="175"/>
      <c r="D146" s="177"/>
      <c r="E146" s="10">
        <v>2</v>
      </c>
      <c r="F146" s="179"/>
      <c r="G146" s="179"/>
      <c r="H146" s="180"/>
    </row>
    <row r="147" spans="2:8" ht="18" customHeight="1">
      <c r="B147" s="137"/>
      <c r="C147" s="175"/>
      <c r="D147" s="177"/>
      <c r="E147" s="11">
        <f>IF(F145="N/A","N/A",5)</f>
        <v>5</v>
      </c>
      <c r="F147" s="179"/>
      <c r="G147" s="179"/>
      <c r="H147" s="180"/>
    </row>
    <row r="148" spans="2:8" ht="21.9" customHeight="1">
      <c r="B148" s="137"/>
      <c r="C148" s="186" t="s">
        <v>136</v>
      </c>
      <c r="D148" s="176" t="s">
        <v>133</v>
      </c>
      <c r="E148" s="9">
        <v>0</v>
      </c>
      <c r="F148" s="178" t="s">
        <v>343</v>
      </c>
      <c r="G148" s="178"/>
      <c r="H148" s="180"/>
    </row>
    <row r="149" spans="2:8" ht="21.9" customHeight="1">
      <c r="B149" s="137"/>
      <c r="C149" s="175"/>
      <c r="D149" s="177"/>
      <c r="E149" s="10">
        <v>5</v>
      </c>
      <c r="F149" s="179"/>
      <c r="G149" s="179"/>
      <c r="H149" s="180"/>
    </row>
    <row r="150" spans="2:8" ht="21.9" customHeight="1">
      <c r="B150" s="137"/>
      <c r="C150" s="175"/>
      <c r="D150" s="177"/>
      <c r="E150" s="11" t="str">
        <f>IF(F148="N/A","N/A",10)</f>
        <v>N/A</v>
      </c>
      <c r="F150" s="179"/>
      <c r="G150" s="179"/>
      <c r="H150" s="180"/>
    </row>
    <row r="151" spans="2:8" ht="13.2">
      <c r="C151" s="3"/>
      <c r="D151" s="3"/>
      <c r="H151" s="4"/>
    </row>
    <row r="152" spans="2:8" ht="13.2">
      <c r="C152" s="3"/>
      <c r="D152" s="3"/>
      <c r="H152" s="4"/>
    </row>
    <row r="153" spans="2:8" ht="13.2">
      <c r="C153" s="3"/>
      <c r="D153" s="3"/>
      <c r="H153" s="4"/>
    </row>
    <row r="154" spans="2:8" ht="13.2">
      <c r="C154" s="3"/>
      <c r="D154" s="3"/>
      <c r="H154" s="4"/>
    </row>
    <row r="155" spans="2:8" ht="13.2">
      <c r="C155" s="3"/>
      <c r="D155" s="3"/>
      <c r="H155" s="4"/>
    </row>
    <row r="156" spans="2:8" ht="13.2">
      <c r="C156" s="3"/>
      <c r="D156" s="3"/>
      <c r="H156" s="4"/>
    </row>
    <row r="157" spans="2:8" ht="13.2">
      <c r="C157" s="3"/>
      <c r="D157" s="3"/>
      <c r="H157" s="4"/>
    </row>
    <row r="158" spans="2:8" ht="13.2">
      <c r="C158" s="3"/>
      <c r="D158" s="3"/>
      <c r="H158" s="4"/>
    </row>
    <row r="159" spans="2:8" ht="13.2">
      <c r="C159" s="3"/>
      <c r="D159" s="3"/>
      <c r="H159" s="4"/>
    </row>
    <row r="160" spans="2:8" ht="13.2">
      <c r="C160" s="3"/>
      <c r="D160" s="3"/>
      <c r="H160" s="4"/>
    </row>
    <row r="161" spans="3:8" ht="13.2">
      <c r="C161" s="3"/>
      <c r="D161" s="3"/>
      <c r="H161" s="4"/>
    </row>
    <row r="162" spans="3:8" ht="13.2">
      <c r="C162" s="3"/>
      <c r="D162" s="3"/>
      <c r="H162" s="4"/>
    </row>
    <row r="163" spans="3:8" ht="13.2">
      <c r="C163" s="3"/>
      <c r="D163" s="3"/>
      <c r="H163" s="4"/>
    </row>
    <row r="164" spans="3:8" ht="13.2">
      <c r="C164" s="3"/>
      <c r="D164" s="3"/>
      <c r="H164" s="4"/>
    </row>
    <row r="165" spans="3:8" ht="13.2">
      <c r="C165" s="3"/>
      <c r="D165" s="3"/>
      <c r="H165" s="4"/>
    </row>
    <row r="166" spans="3:8" ht="13.2">
      <c r="C166" s="3"/>
      <c r="D166" s="3"/>
      <c r="H166" s="4"/>
    </row>
    <row r="167" spans="3:8" ht="13.2">
      <c r="C167" s="3"/>
      <c r="D167" s="3"/>
      <c r="H167" s="4"/>
    </row>
    <row r="168" spans="3:8" ht="13.2">
      <c r="C168" s="3"/>
      <c r="D168" s="3"/>
      <c r="H168" s="4"/>
    </row>
    <row r="169" spans="3:8" ht="13.2">
      <c r="C169" s="3"/>
      <c r="D169" s="3"/>
      <c r="H169" s="4"/>
    </row>
    <row r="170" spans="3:8" ht="13.2">
      <c r="C170" s="3"/>
      <c r="D170" s="3"/>
      <c r="H170" s="4"/>
    </row>
    <row r="171" spans="3:8" ht="13.2">
      <c r="C171" s="3"/>
      <c r="D171" s="3"/>
      <c r="H171" s="4"/>
    </row>
    <row r="172" spans="3:8" ht="13.2">
      <c r="C172" s="3"/>
      <c r="D172" s="3"/>
      <c r="H172" s="4"/>
    </row>
    <row r="173" spans="3:8" ht="13.2">
      <c r="C173" s="3"/>
      <c r="D173" s="3"/>
      <c r="H173" s="4"/>
    </row>
    <row r="174" spans="3:8" ht="13.2">
      <c r="C174" s="3"/>
      <c r="D174" s="3"/>
      <c r="H174" s="4"/>
    </row>
    <row r="175" spans="3:8" ht="13.2">
      <c r="C175" s="3"/>
      <c r="D175" s="3"/>
      <c r="H175" s="4"/>
    </row>
    <row r="176" spans="3:8" ht="13.2">
      <c r="C176" s="3"/>
      <c r="D176" s="3"/>
      <c r="H176" s="4"/>
    </row>
    <row r="177" spans="3:8" ht="13.2">
      <c r="C177" s="3"/>
      <c r="D177" s="3"/>
      <c r="H177" s="4"/>
    </row>
    <row r="178" spans="3:8" ht="13.2">
      <c r="C178" s="3"/>
      <c r="D178" s="3"/>
      <c r="H178" s="4"/>
    </row>
    <row r="179" spans="3:8" ht="13.2">
      <c r="C179" s="3"/>
      <c r="D179" s="3"/>
      <c r="H179" s="4"/>
    </row>
    <row r="180" spans="3:8" ht="13.2">
      <c r="C180" s="3"/>
      <c r="D180" s="3"/>
      <c r="H180" s="4"/>
    </row>
    <row r="181" spans="3:8" ht="13.2">
      <c r="C181" s="3"/>
      <c r="D181" s="3"/>
      <c r="H181" s="4"/>
    </row>
    <row r="182" spans="3:8" ht="13.2">
      <c r="C182" s="3"/>
      <c r="D182" s="3"/>
      <c r="H182" s="4"/>
    </row>
    <row r="183" spans="3:8" ht="13.2">
      <c r="C183" s="3"/>
      <c r="D183" s="3"/>
      <c r="H183" s="4"/>
    </row>
    <row r="184" spans="3:8" ht="13.2">
      <c r="C184" s="3"/>
      <c r="D184" s="3"/>
      <c r="H184" s="4"/>
    </row>
    <row r="185" spans="3:8" ht="13.2">
      <c r="C185" s="3"/>
      <c r="D185" s="3"/>
      <c r="H185" s="4"/>
    </row>
    <row r="186" spans="3:8" ht="13.2">
      <c r="C186" s="3"/>
      <c r="D186" s="3"/>
      <c r="H186" s="4"/>
    </row>
    <row r="187" spans="3:8" ht="13.2">
      <c r="C187" s="3"/>
      <c r="D187" s="3"/>
      <c r="H187" s="4"/>
    </row>
    <row r="188" spans="3:8" ht="13.2">
      <c r="C188" s="3"/>
      <c r="D188" s="3"/>
      <c r="H188" s="4"/>
    </row>
    <row r="189" spans="3:8" ht="13.2">
      <c r="C189" s="3"/>
      <c r="D189" s="3"/>
      <c r="H189" s="4"/>
    </row>
    <row r="190" spans="3:8" ht="13.2">
      <c r="C190" s="3"/>
      <c r="D190" s="3"/>
      <c r="H190" s="4"/>
    </row>
    <row r="191" spans="3:8" ht="13.2">
      <c r="C191" s="3"/>
      <c r="D191" s="3"/>
      <c r="H191" s="4"/>
    </row>
    <row r="192" spans="3:8" ht="13.2">
      <c r="C192" s="3"/>
      <c r="D192" s="3"/>
      <c r="H192" s="4"/>
    </row>
    <row r="193" spans="3:8" ht="13.2">
      <c r="C193" s="3"/>
      <c r="D193" s="3"/>
      <c r="H193" s="4"/>
    </row>
    <row r="194" spans="3:8" ht="13.2">
      <c r="C194" s="3"/>
      <c r="D194" s="3"/>
      <c r="H194" s="4"/>
    </row>
    <row r="195" spans="3:8" ht="13.2">
      <c r="C195" s="3"/>
      <c r="D195" s="3"/>
      <c r="H195" s="4"/>
    </row>
    <row r="196" spans="3:8" ht="13.2">
      <c r="C196" s="3"/>
      <c r="D196" s="3"/>
      <c r="H196" s="4"/>
    </row>
    <row r="197" spans="3:8" ht="13.2">
      <c r="C197" s="3"/>
      <c r="D197" s="3"/>
      <c r="H197" s="4"/>
    </row>
    <row r="198" spans="3:8" ht="13.2">
      <c r="C198" s="3"/>
      <c r="D198" s="3"/>
      <c r="H198" s="4"/>
    </row>
    <row r="199" spans="3:8" ht="13.2">
      <c r="C199" s="3"/>
      <c r="D199" s="3"/>
      <c r="H199" s="4"/>
    </row>
    <row r="200" spans="3:8" ht="13.2">
      <c r="C200" s="3"/>
      <c r="D200" s="3"/>
      <c r="H200" s="4"/>
    </row>
    <row r="201" spans="3:8" ht="13.2">
      <c r="C201" s="3"/>
      <c r="D201" s="3"/>
      <c r="H201" s="4"/>
    </row>
    <row r="202" spans="3:8" ht="13.2">
      <c r="C202" s="3"/>
      <c r="D202" s="3"/>
      <c r="H202" s="4"/>
    </row>
    <row r="203" spans="3:8" ht="13.2">
      <c r="C203" s="3"/>
      <c r="D203" s="3"/>
      <c r="H203" s="4"/>
    </row>
    <row r="204" spans="3:8" ht="13.2">
      <c r="C204" s="3"/>
      <c r="D204" s="3"/>
      <c r="H204" s="4"/>
    </row>
    <row r="205" spans="3:8" ht="13.2">
      <c r="C205" s="3"/>
      <c r="D205" s="3"/>
      <c r="H205" s="4"/>
    </row>
    <row r="206" spans="3:8" ht="13.2">
      <c r="C206" s="3"/>
      <c r="D206" s="3"/>
      <c r="H206" s="4"/>
    </row>
    <row r="207" spans="3:8" ht="13.2">
      <c r="C207" s="3"/>
      <c r="D207" s="3"/>
      <c r="H207" s="4"/>
    </row>
    <row r="208" spans="3:8" ht="13.2">
      <c r="C208" s="3"/>
      <c r="D208" s="3"/>
      <c r="H208" s="4"/>
    </row>
    <row r="209" spans="3:8" ht="13.2">
      <c r="C209" s="3"/>
      <c r="D209" s="3"/>
      <c r="H209" s="4"/>
    </row>
    <row r="210" spans="3:8" ht="13.2">
      <c r="C210" s="3"/>
      <c r="D210" s="3"/>
      <c r="H210" s="4"/>
    </row>
    <row r="211" spans="3:8" ht="13.2">
      <c r="C211" s="3"/>
      <c r="D211" s="3"/>
      <c r="H211" s="4"/>
    </row>
    <row r="212" spans="3:8" ht="13.2">
      <c r="C212" s="3"/>
      <c r="D212" s="3"/>
      <c r="H212" s="4"/>
    </row>
    <row r="213" spans="3:8" ht="13.2">
      <c r="C213" s="3"/>
      <c r="D213" s="3"/>
      <c r="H213" s="4"/>
    </row>
    <row r="214" spans="3:8" ht="13.2">
      <c r="C214" s="3"/>
      <c r="D214" s="3"/>
      <c r="H214" s="4"/>
    </row>
    <row r="215" spans="3:8" ht="13.2">
      <c r="C215" s="3"/>
      <c r="D215" s="3"/>
      <c r="H215" s="4"/>
    </row>
    <row r="216" spans="3:8" ht="13.2">
      <c r="C216" s="3"/>
      <c r="D216" s="3"/>
      <c r="H216" s="4"/>
    </row>
    <row r="217" spans="3:8" ht="13.2">
      <c r="C217" s="3"/>
      <c r="D217" s="3"/>
      <c r="H217" s="4"/>
    </row>
    <row r="218" spans="3:8" ht="13.2">
      <c r="C218" s="3"/>
      <c r="D218" s="3"/>
      <c r="H218" s="4"/>
    </row>
    <row r="219" spans="3:8" ht="13.2">
      <c r="C219" s="3"/>
      <c r="D219" s="3"/>
      <c r="H219" s="4"/>
    </row>
    <row r="220" spans="3:8" ht="13.2">
      <c r="C220" s="3"/>
      <c r="D220" s="3"/>
      <c r="H220" s="4"/>
    </row>
    <row r="221" spans="3:8" ht="13.2">
      <c r="C221" s="3"/>
      <c r="D221" s="3"/>
      <c r="H221" s="4"/>
    </row>
    <row r="222" spans="3:8" ht="13.2">
      <c r="C222" s="3"/>
      <c r="D222" s="3"/>
      <c r="H222" s="4"/>
    </row>
    <row r="223" spans="3:8" ht="13.2">
      <c r="C223" s="3"/>
      <c r="D223" s="3"/>
      <c r="H223" s="4"/>
    </row>
    <row r="224" spans="3:8" ht="13.2">
      <c r="C224" s="3"/>
      <c r="D224" s="3"/>
      <c r="H224" s="4"/>
    </row>
    <row r="225" spans="3:8" ht="13.2">
      <c r="C225" s="3"/>
      <c r="D225" s="3"/>
      <c r="H225" s="4"/>
    </row>
    <row r="226" spans="3:8" ht="13.2">
      <c r="C226" s="3"/>
      <c r="D226" s="3"/>
      <c r="H226" s="4"/>
    </row>
    <row r="227" spans="3:8" ht="13.2">
      <c r="C227" s="3"/>
      <c r="D227" s="3"/>
      <c r="H227" s="4"/>
    </row>
    <row r="228" spans="3:8" ht="13.2">
      <c r="C228" s="3"/>
      <c r="D228" s="3"/>
      <c r="H228" s="4"/>
    </row>
    <row r="229" spans="3:8" ht="13.2">
      <c r="C229" s="3"/>
      <c r="D229" s="3"/>
      <c r="H229" s="4"/>
    </row>
    <row r="230" spans="3:8" ht="13.2">
      <c r="C230" s="3"/>
      <c r="D230" s="3"/>
      <c r="H230" s="4"/>
    </row>
    <row r="231" spans="3:8" ht="13.2">
      <c r="C231" s="3"/>
      <c r="D231" s="3"/>
      <c r="H231" s="4"/>
    </row>
    <row r="232" spans="3:8" ht="13.2">
      <c r="C232" s="3"/>
      <c r="D232" s="3"/>
      <c r="H232" s="4"/>
    </row>
    <row r="233" spans="3:8" ht="13.2">
      <c r="C233" s="3"/>
      <c r="D233" s="3"/>
      <c r="H233" s="4"/>
    </row>
    <row r="234" spans="3:8" ht="13.2">
      <c r="C234" s="3"/>
      <c r="D234" s="3"/>
      <c r="H234" s="4"/>
    </row>
    <row r="235" spans="3:8" ht="13.2">
      <c r="C235" s="3"/>
      <c r="D235" s="3"/>
      <c r="H235" s="4"/>
    </row>
    <row r="236" spans="3:8" ht="13.2">
      <c r="C236" s="3"/>
      <c r="D236" s="3"/>
      <c r="H236" s="4"/>
    </row>
    <row r="237" spans="3:8" ht="13.2">
      <c r="C237" s="3"/>
      <c r="D237" s="3"/>
      <c r="H237" s="4"/>
    </row>
    <row r="238" spans="3:8" ht="13.2">
      <c r="C238" s="3"/>
      <c r="D238" s="3"/>
      <c r="H238" s="4"/>
    </row>
    <row r="239" spans="3:8" ht="13.2">
      <c r="C239" s="3"/>
      <c r="D239" s="3"/>
      <c r="H239" s="4"/>
    </row>
    <row r="240" spans="3:8" ht="13.2">
      <c r="C240" s="3"/>
      <c r="D240" s="3"/>
      <c r="H240" s="4"/>
    </row>
    <row r="241" spans="3:8" ht="13.2">
      <c r="C241" s="3"/>
      <c r="D241" s="3"/>
      <c r="H241" s="4"/>
    </row>
    <row r="242" spans="3:8" ht="13.2">
      <c r="C242" s="3"/>
      <c r="D242" s="3"/>
      <c r="H242" s="4"/>
    </row>
    <row r="243" spans="3:8" ht="13.2">
      <c r="C243" s="3"/>
      <c r="D243" s="3"/>
      <c r="H243" s="4"/>
    </row>
    <row r="244" spans="3:8" ht="13.2">
      <c r="C244" s="3"/>
      <c r="D244" s="3"/>
      <c r="H244" s="4"/>
    </row>
    <row r="245" spans="3:8" ht="13.2">
      <c r="C245" s="3"/>
      <c r="D245" s="3"/>
      <c r="H245" s="4"/>
    </row>
    <row r="246" spans="3:8" ht="13.2">
      <c r="C246" s="3"/>
      <c r="D246" s="3"/>
      <c r="H246" s="4"/>
    </row>
    <row r="247" spans="3:8" ht="13.2">
      <c r="C247" s="3"/>
      <c r="D247" s="3"/>
      <c r="H247" s="4"/>
    </row>
    <row r="248" spans="3:8" ht="13.2">
      <c r="C248" s="3"/>
      <c r="D248" s="3"/>
      <c r="H248" s="4"/>
    </row>
    <row r="249" spans="3:8" ht="13.2">
      <c r="C249" s="3"/>
      <c r="D249" s="3"/>
      <c r="H249" s="4"/>
    </row>
    <row r="250" spans="3:8" ht="13.2">
      <c r="C250" s="3"/>
      <c r="D250" s="3"/>
      <c r="H250" s="4"/>
    </row>
    <row r="251" spans="3:8" ht="13.2">
      <c r="C251" s="3"/>
      <c r="D251" s="3"/>
      <c r="H251" s="4"/>
    </row>
    <row r="252" spans="3:8" ht="13.2">
      <c r="C252" s="3"/>
      <c r="D252" s="3"/>
      <c r="H252" s="4"/>
    </row>
    <row r="253" spans="3:8" ht="13.2">
      <c r="C253" s="3"/>
      <c r="D253" s="3"/>
      <c r="H253" s="4"/>
    </row>
    <row r="254" spans="3:8" ht="13.2">
      <c r="C254" s="3"/>
      <c r="D254" s="3"/>
      <c r="H254" s="4"/>
    </row>
    <row r="255" spans="3:8" ht="13.2">
      <c r="C255" s="3"/>
      <c r="D255" s="3"/>
      <c r="H255" s="4"/>
    </row>
    <row r="256" spans="3:8" ht="13.2">
      <c r="C256" s="3"/>
      <c r="D256" s="3"/>
      <c r="H256" s="4"/>
    </row>
    <row r="257" spans="3:8" ht="13.2">
      <c r="C257" s="3"/>
      <c r="D257" s="3"/>
      <c r="H257" s="4"/>
    </row>
    <row r="258" spans="3:8" ht="13.2">
      <c r="C258" s="3"/>
      <c r="D258" s="3"/>
      <c r="H258" s="4"/>
    </row>
    <row r="259" spans="3:8" ht="13.2">
      <c r="C259" s="3"/>
      <c r="D259" s="3"/>
      <c r="H259" s="4"/>
    </row>
    <row r="260" spans="3:8" ht="13.2">
      <c r="C260" s="3"/>
      <c r="D260" s="3"/>
      <c r="H260" s="4"/>
    </row>
    <row r="261" spans="3:8" ht="13.2">
      <c r="C261" s="3"/>
      <c r="D261" s="3"/>
      <c r="H261" s="4"/>
    </row>
    <row r="262" spans="3:8" ht="13.2">
      <c r="C262" s="3"/>
      <c r="D262" s="3"/>
      <c r="H262" s="4"/>
    </row>
    <row r="263" spans="3:8" ht="13.2">
      <c r="C263" s="3"/>
      <c r="D263" s="3"/>
      <c r="H263" s="4"/>
    </row>
    <row r="264" spans="3:8" ht="13.2">
      <c r="C264" s="3"/>
      <c r="D264" s="3"/>
      <c r="H264" s="4"/>
    </row>
    <row r="265" spans="3:8" ht="13.2">
      <c r="C265" s="3"/>
      <c r="D265" s="3"/>
      <c r="H265" s="4"/>
    </row>
    <row r="266" spans="3:8" ht="13.2">
      <c r="C266" s="3"/>
      <c r="D266" s="3"/>
      <c r="H266" s="4"/>
    </row>
    <row r="267" spans="3:8" ht="13.2">
      <c r="C267" s="3"/>
      <c r="D267" s="3"/>
      <c r="H267" s="4"/>
    </row>
    <row r="268" spans="3:8" ht="13.2">
      <c r="C268" s="3"/>
      <c r="D268" s="3"/>
      <c r="H268" s="4"/>
    </row>
    <row r="269" spans="3:8" ht="13.2">
      <c r="C269" s="3"/>
      <c r="D269" s="3"/>
      <c r="H269" s="4"/>
    </row>
    <row r="270" spans="3:8" ht="13.2">
      <c r="C270" s="3"/>
      <c r="D270" s="3"/>
      <c r="H270" s="4"/>
    </row>
    <row r="271" spans="3:8" ht="13.2">
      <c r="C271" s="3"/>
      <c r="D271" s="3"/>
      <c r="H271" s="4"/>
    </row>
    <row r="272" spans="3:8" ht="13.2">
      <c r="C272" s="3"/>
      <c r="D272" s="3"/>
      <c r="H272" s="4"/>
    </row>
    <row r="273" spans="3:8" ht="13.2">
      <c r="C273" s="3"/>
      <c r="D273" s="3"/>
      <c r="H273" s="4"/>
    </row>
    <row r="274" spans="3:8" ht="13.2">
      <c r="C274" s="3"/>
      <c r="D274" s="3"/>
      <c r="H274" s="4"/>
    </row>
    <row r="275" spans="3:8" ht="13.2">
      <c r="C275" s="3"/>
      <c r="D275" s="3"/>
      <c r="H275" s="4"/>
    </row>
    <row r="276" spans="3:8" ht="13.2">
      <c r="C276" s="3"/>
      <c r="D276" s="3"/>
      <c r="H276" s="4"/>
    </row>
    <row r="277" spans="3:8" ht="13.2">
      <c r="C277" s="3"/>
      <c r="D277" s="3"/>
      <c r="H277" s="4"/>
    </row>
    <row r="278" spans="3:8" ht="13.2">
      <c r="C278" s="3"/>
      <c r="D278" s="3"/>
      <c r="H278" s="4"/>
    </row>
    <row r="279" spans="3:8" ht="13.2">
      <c r="C279" s="3"/>
      <c r="D279" s="3"/>
      <c r="H279" s="4"/>
    </row>
    <row r="280" spans="3:8" ht="13.2">
      <c r="C280" s="3"/>
      <c r="D280" s="3"/>
      <c r="H280" s="4"/>
    </row>
    <row r="281" spans="3:8" ht="13.2">
      <c r="C281" s="3"/>
      <c r="D281" s="3"/>
      <c r="H281" s="4"/>
    </row>
    <row r="282" spans="3:8" ht="13.2">
      <c r="C282" s="3"/>
      <c r="D282" s="3"/>
      <c r="H282" s="4"/>
    </row>
    <row r="283" spans="3:8" ht="13.2">
      <c r="C283" s="3"/>
      <c r="D283" s="3"/>
      <c r="H283" s="4"/>
    </row>
    <row r="284" spans="3:8" ht="13.2">
      <c r="C284" s="3"/>
      <c r="D284" s="3"/>
      <c r="H284" s="4"/>
    </row>
    <row r="285" spans="3:8" ht="13.2">
      <c r="C285" s="3"/>
      <c r="D285" s="3"/>
      <c r="H285" s="4"/>
    </row>
    <row r="286" spans="3:8" ht="13.2">
      <c r="C286" s="3"/>
      <c r="D286" s="3"/>
      <c r="H286" s="4"/>
    </row>
    <row r="287" spans="3:8" ht="13.2">
      <c r="C287" s="3"/>
      <c r="D287" s="3"/>
      <c r="H287" s="4"/>
    </row>
    <row r="288" spans="3:8" ht="13.2">
      <c r="C288" s="3"/>
      <c r="D288" s="3"/>
      <c r="H288" s="4"/>
    </row>
    <row r="289" spans="3:8" ht="13.2">
      <c r="C289" s="3"/>
      <c r="D289" s="3"/>
      <c r="H289" s="4"/>
    </row>
    <row r="290" spans="3:8" ht="13.2">
      <c r="C290" s="3"/>
      <c r="D290" s="3"/>
      <c r="H290" s="4"/>
    </row>
    <row r="291" spans="3:8" ht="13.2">
      <c r="C291" s="3"/>
      <c r="D291" s="3"/>
      <c r="H291" s="4"/>
    </row>
    <row r="292" spans="3:8" ht="13.2">
      <c r="C292" s="3"/>
      <c r="D292" s="3"/>
      <c r="H292" s="4"/>
    </row>
    <row r="293" spans="3:8" ht="13.2">
      <c r="C293" s="3"/>
      <c r="D293" s="3"/>
      <c r="H293" s="4"/>
    </row>
    <row r="294" spans="3:8" ht="13.2">
      <c r="C294" s="3"/>
      <c r="D294" s="3"/>
      <c r="H294" s="4"/>
    </row>
    <row r="295" spans="3:8" ht="13.2">
      <c r="C295" s="3"/>
      <c r="D295" s="3"/>
      <c r="H295" s="4"/>
    </row>
    <row r="296" spans="3:8" ht="13.2">
      <c r="C296" s="3"/>
      <c r="D296" s="3"/>
      <c r="H296" s="4"/>
    </row>
    <row r="297" spans="3:8" ht="13.2">
      <c r="C297" s="3"/>
      <c r="D297" s="3"/>
      <c r="H297" s="4"/>
    </row>
    <row r="298" spans="3:8" ht="13.2">
      <c r="C298" s="3"/>
      <c r="D298" s="3"/>
      <c r="H298" s="4"/>
    </row>
    <row r="299" spans="3:8" ht="13.2">
      <c r="C299" s="3"/>
      <c r="D299" s="3"/>
      <c r="H299" s="4"/>
    </row>
    <row r="300" spans="3:8" ht="13.2">
      <c r="C300" s="3"/>
      <c r="D300" s="3"/>
      <c r="H300" s="4"/>
    </row>
    <row r="301" spans="3:8" ht="13.2">
      <c r="C301" s="3"/>
      <c r="D301" s="3"/>
      <c r="H301" s="4"/>
    </row>
    <row r="302" spans="3:8" ht="13.2">
      <c r="C302" s="3"/>
      <c r="D302" s="3"/>
      <c r="H302" s="4"/>
    </row>
    <row r="303" spans="3:8" ht="13.2">
      <c r="C303" s="3"/>
      <c r="D303" s="3"/>
      <c r="H303" s="4"/>
    </row>
    <row r="304" spans="3:8" ht="13.2">
      <c r="C304" s="3"/>
      <c r="D304" s="3"/>
      <c r="H304" s="4"/>
    </row>
    <row r="305" spans="3:8" ht="13.2">
      <c r="C305" s="3"/>
      <c r="D305" s="3"/>
      <c r="H305" s="4"/>
    </row>
    <row r="306" spans="3:8" ht="13.2">
      <c r="C306" s="3"/>
      <c r="D306" s="3"/>
      <c r="H306" s="4"/>
    </row>
    <row r="307" spans="3:8" ht="13.2">
      <c r="C307" s="3"/>
      <c r="D307" s="3"/>
      <c r="H307" s="4"/>
    </row>
    <row r="308" spans="3:8" ht="13.2">
      <c r="C308" s="3"/>
      <c r="D308" s="3"/>
      <c r="H308" s="4"/>
    </row>
    <row r="309" spans="3:8" ht="13.2">
      <c r="C309" s="3"/>
      <c r="D309" s="3"/>
      <c r="H309" s="4"/>
    </row>
    <row r="310" spans="3:8" ht="13.2">
      <c r="C310" s="3"/>
      <c r="D310" s="3"/>
      <c r="H310" s="4"/>
    </row>
    <row r="311" spans="3:8" ht="13.2">
      <c r="C311" s="3"/>
      <c r="D311" s="3"/>
      <c r="H311" s="4"/>
    </row>
    <row r="312" spans="3:8" ht="13.2">
      <c r="C312" s="3"/>
      <c r="D312" s="3"/>
      <c r="H312" s="4"/>
    </row>
    <row r="313" spans="3:8" ht="13.2">
      <c r="C313" s="3"/>
      <c r="D313" s="3"/>
      <c r="H313" s="4"/>
    </row>
    <row r="314" spans="3:8" ht="13.2">
      <c r="C314" s="3"/>
      <c r="D314" s="3"/>
      <c r="H314" s="4"/>
    </row>
    <row r="315" spans="3:8" ht="13.2">
      <c r="C315" s="3"/>
      <c r="D315" s="3"/>
      <c r="H315" s="4"/>
    </row>
    <row r="316" spans="3:8" ht="13.2">
      <c r="C316" s="3"/>
      <c r="D316" s="3"/>
      <c r="H316" s="4"/>
    </row>
    <row r="317" spans="3:8" ht="13.2">
      <c r="C317" s="3"/>
      <c r="D317" s="3"/>
      <c r="H317" s="4"/>
    </row>
    <row r="318" spans="3:8" ht="13.2">
      <c r="C318" s="3"/>
      <c r="D318" s="3"/>
      <c r="H318" s="4"/>
    </row>
    <row r="319" spans="3:8" ht="13.2">
      <c r="C319" s="3"/>
      <c r="D319" s="3"/>
      <c r="H319" s="4"/>
    </row>
    <row r="320" spans="3:8" ht="13.2">
      <c r="C320" s="3"/>
      <c r="D320" s="3"/>
      <c r="H320" s="4"/>
    </row>
    <row r="321" spans="3:8" ht="13.2">
      <c r="C321" s="3"/>
      <c r="D321" s="3"/>
      <c r="H321" s="4"/>
    </row>
    <row r="322" spans="3:8" ht="13.2">
      <c r="C322" s="3"/>
      <c r="D322" s="3"/>
      <c r="H322" s="4"/>
    </row>
    <row r="323" spans="3:8" ht="13.2">
      <c r="C323" s="3"/>
      <c r="D323" s="3"/>
      <c r="H323" s="4"/>
    </row>
    <row r="324" spans="3:8" ht="13.2">
      <c r="C324" s="3"/>
      <c r="D324" s="3"/>
      <c r="H324" s="4"/>
    </row>
    <row r="325" spans="3:8" ht="13.2">
      <c r="C325" s="3"/>
      <c r="D325" s="3"/>
      <c r="H325" s="4"/>
    </row>
    <row r="326" spans="3:8" ht="13.2">
      <c r="C326" s="3"/>
      <c r="D326" s="3"/>
      <c r="H326" s="4"/>
    </row>
    <row r="327" spans="3:8" ht="13.2">
      <c r="C327" s="3"/>
      <c r="D327" s="3"/>
      <c r="H327" s="4"/>
    </row>
    <row r="328" spans="3:8" ht="13.2">
      <c r="C328" s="3"/>
      <c r="D328" s="3"/>
      <c r="H328" s="4"/>
    </row>
    <row r="329" spans="3:8" ht="13.2">
      <c r="C329" s="3"/>
      <c r="D329" s="3"/>
      <c r="H329" s="4"/>
    </row>
    <row r="330" spans="3:8" ht="13.2">
      <c r="C330" s="3"/>
      <c r="D330" s="3"/>
      <c r="H330" s="4"/>
    </row>
    <row r="331" spans="3:8" ht="13.2">
      <c r="C331" s="3"/>
      <c r="D331" s="3"/>
      <c r="H331" s="4"/>
    </row>
    <row r="332" spans="3:8" ht="13.2">
      <c r="C332" s="3"/>
      <c r="D332" s="3"/>
      <c r="H332" s="4"/>
    </row>
    <row r="333" spans="3:8" ht="13.2">
      <c r="C333" s="3"/>
      <c r="D333" s="3"/>
      <c r="H333" s="4"/>
    </row>
    <row r="334" spans="3:8" ht="13.2">
      <c r="C334" s="3"/>
      <c r="D334" s="3"/>
      <c r="H334" s="4"/>
    </row>
    <row r="335" spans="3:8" ht="13.2">
      <c r="C335" s="3"/>
      <c r="D335" s="3"/>
      <c r="H335" s="4"/>
    </row>
    <row r="336" spans="3:8" ht="13.2">
      <c r="C336" s="3"/>
      <c r="D336" s="3"/>
      <c r="H336" s="4"/>
    </row>
    <row r="337" spans="3:8" ht="13.2">
      <c r="C337" s="3"/>
      <c r="D337" s="3"/>
      <c r="H337" s="4"/>
    </row>
    <row r="338" spans="3:8" ht="13.2">
      <c r="C338" s="3"/>
      <c r="D338" s="3"/>
      <c r="H338" s="4"/>
    </row>
    <row r="339" spans="3:8" ht="13.2">
      <c r="C339" s="3"/>
      <c r="D339" s="3"/>
      <c r="H339" s="4"/>
    </row>
    <row r="340" spans="3:8" ht="13.2">
      <c r="C340" s="3"/>
      <c r="D340" s="3"/>
      <c r="H340" s="4"/>
    </row>
    <row r="341" spans="3:8" ht="13.2">
      <c r="C341" s="3"/>
      <c r="D341" s="3"/>
      <c r="H341" s="4"/>
    </row>
    <row r="342" spans="3:8" ht="13.2">
      <c r="C342" s="3"/>
      <c r="D342" s="3"/>
      <c r="H342" s="4"/>
    </row>
    <row r="343" spans="3:8" ht="13.2">
      <c r="C343" s="3"/>
      <c r="D343" s="3"/>
      <c r="H343" s="4"/>
    </row>
    <row r="344" spans="3:8" ht="13.2">
      <c r="C344" s="3"/>
      <c r="D344" s="3"/>
      <c r="H344" s="4"/>
    </row>
    <row r="345" spans="3:8" ht="13.2">
      <c r="C345" s="3"/>
      <c r="D345" s="3"/>
      <c r="H345" s="4"/>
    </row>
    <row r="346" spans="3:8" ht="13.2">
      <c r="C346" s="3"/>
      <c r="D346" s="3"/>
      <c r="H346" s="4"/>
    </row>
    <row r="347" spans="3:8" ht="13.2">
      <c r="C347" s="3"/>
      <c r="D347" s="3"/>
      <c r="H347" s="4"/>
    </row>
    <row r="348" spans="3:8" ht="13.2">
      <c r="C348" s="3"/>
      <c r="D348" s="3"/>
      <c r="H348" s="4"/>
    </row>
    <row r="349" spans="3:8" ht="13.2">
      <c r="C349" s="3"/>
      <c r="D349" s="3"/>
      <c r="H349" s="4"/>
    </row>
    <row r="350" spans="3:8" ht="13.2">
      <c r="C350" s="3"/>
      <c r="D350" s="3"/>
      <c r="H350" s="4"/>
    </row>
    <row r="351" spans="3:8" ht="13.2">
      <c r="C351" s="3"/>
      <c r="D351" s="3"/>
      <c r="H351" s="4"/>
    </row>
    <row r="352" spans="3:8" ht="13.2">
      <c r="C352" s="3"/>
      <c r="D352" s="3"/>
      <c r="H352" s="4"/>
    </row>
    <row r="353" spans="3:8" ht="13.2">
      <c r="C353" s="3"/>
      <c r="D353" s="3"/>
      <c r="H353" s="4"/>
    </row>
    <row r="354" spans="3:8" ht="13.2">
      <c r="C354" s="3"/>
      <c r="D354" s="3"/>
      <c r="H354" s="4"/>
    </row>
    <row r="355" spans="3:8" ht="13.2">
      <c r="C355" s="3"/>
      <c r="D355" s="3"/>
      <c r="H355" s="4"/>
    </row>
    <row r="356" spans="3:8" ht="13.2">
      <c r="C356" s="3"/>
      <c r="D356" s="3"/>
      <c r="H356" s="4"/>
    </row>
    <row r="357" spans="3:8" ht="13.2">
      <c r="C357" s="3"/>
      <c r="D357" s="3"/>
      <c r="H357" s="4"/>
    </row>
    <row r="358" spans="3:8" ht="13.2">
      <c r="C358" s="3"/>
      <c r="D358" s="3"/>
      <c r="H358" s="4"/>
    </row>
    <row r="359" spans="3:8" ht="13.2">
      <c r="C359" s="3"/>
      <c r="D359" s="3"/>
      <c r="H359" s="4"/>
    </row>
    <row r="360" spans="3:8" ht="13.2">
      <c r="C360" s="3"/>
      <c r="D360" s="3"/>
      <c r="H360" s="4"/>
    </row>
    <row r="361" spans="3:8" ht="13.2">
      <c r="C361" s="3"/>
      <c r="D361" s="3"/>
      <c r="H361" s="4"/>
    </row>
    <row r="362" spans="3:8" ht="13.2">
      <c r="C362" s="3"/>
      <c r="D362" s="3"/>
      <c r="H362" s="4"/>
    </row>
    <row r="363" spans="3:8" ht="13.2">
      <c r="C363" s="3"/>
      <c r="D363" s="3"/>
      <c r="H363" s="4"/>
    </row>
    <row r="364" spans="3:8" ht="13.2">
      <c r="C364" s="3"/>
      <c r="D364" s="3"/>
      <c r="H364" s="4"/>
    </row>
    <row r="365" spans="3:8" ht="13.2">
      <c r="C365" s="3"/>
      <c r="D365" s="3"/>
      <c r="H365" s="4"/>
    </row>
    <row r="366" spans="3:8" ht="13.2">
      <c r="C366" s="3"/>
      <c r="D366" s="3"/>
      <c r="H366" s="4"/>
    </row>
    <row r="367" spans="3:8" ht="13.2">
      <c r="C367" s="3"/>
      <c r="D367" s="3"/>
      <c r="H367" s="4"/>
    </row>
    <row r="368" spans="3:8" ht="13.2">
      <c r="C368" s="3"/>
      <c r="D368" s="3"/>
      <c r="H368" s="4"/>
    </row>
    <row r="369" spans="3:8" ht="13.2">
      <c r="C369" s="3"/>
      <c r="D369" s="3"/>
      <c r="H369" s="4"/>
    </row>
    <row r="370" spans="3:8" ht="13.2">
      <c r="C370" s="3"/>
      <c r="D370" s="3"/>
      <c r="H370" s="4"/>
    </row>
    <row r="371" spans="3:8" ht="13.2">
      <c r="C371" s="3"/>
      <c r="D371" s="3"/>
      <c r="H371" s="4"/>
    </row>
    <row r="372" spans="3:8" ht="13.2">
      <c r="C372" s="3"/>
      <c r="D372" s="3"/>
      <c r="H372" s="4"/>
    </row>
    <row r="373" spans="3:8" ht="13.2">
      <c r="C373" s="3"/>
      <c r="D373" s="3"/>
      <c r="H373" s="4"/>
    </row>
    <row r="374" spans="3:8" ht="13.2">
      <c r="C374" s="3"/>
      <c r="D374" s="3"/>
      <c r="H374" s="4"/>
    </row>
    <row r="375" spans="3:8" ht="13.2">
      <c r="C375" s="3"/>
      <c r="D375" s="3"/>
      <c r="H375" s="4"/>
    </row>
    <row r="376" spans="3:8" ht="13.2">
      <c r="C376" s="3"/>
      <c r="D376" s="3"/>
      <c r="H376" s="4"/>
    </row>
    <row r="377" spans="3:8" ht="13.2">
      <c r="C377" s="3"/>
      <c r="D377" s="3"/>
      <c r="H377" s="4"/>
    </row>
    <row r="378" spans="3:8" ht="13.2">
      <c r="C378" s="3"/>
      <c r="D378" s="3"/>
      <c r="H378" s="4"/>
    </row>
    <row r="379" spans="3:8" ht="13.2">
      <c r="C379" s="3"/>
      <c r="D379" s="3"/>
      <c r="H379" s="4"/>
    </row>
    <row r="380" spans="3:8" ht="13.2">
      <c r="C380" s="3"/>
      <c r="D380" s="3"/>
      <c r="H380" s="4"/>
    </row>
    <row r="381" spans="3:8" ht="13.2">
      <c r="C381" s="3"/>
      <c r="D381" s="3"/>
      <c r="H381" s="4"/>
    </row>
    <row r="382" spans="3:8" ht="13.2">
      <c r="C382" s="3"/>
      <c r="D382" s="3"/>
      <c r="H382" s="4"/>
    </row>
    <row r="383" spans="3:8" ht="13.2">
      <c r="C383" s="3"/>
      <c r="D383" s="3"/>
      <c r="H383" s="4"/>
    </row>
    <row r="384" spans="3:8" ht="13.2">
      <c r="C384" s="3"/>
      <c r="D384" s="3"/>
      <c r="H384" s="4"/>
    </row>
    <row r="385" spans="3:8" ht="13.2">
      <c r="C385" s="3"/>
      <c r="D385" s="3"/>
      <c r="H385" s="4"/>
    </row>
    <row r="386" spans="3:8" ht="13.2">
      <c r="C386" s="3"/>
      <c r="D386" s="3"/>
      <c r="H386" s="4"/>
    </row>
    <row r="387" spans="3:8" ht="13.2">
      <c r="C387" s="3"/>
      <c r="D387" s="3"/>
      <c r="H387" s="4"/>
    </row>
    <row r="388" spans="3:8" ht="13.2">
      <c r="C388" s="3"/>
      <c r="D388" s="3"/>
      <c r="H388" s="4"/>
    </row>
    <row r="389" spans="3:8" ht="13.2">
      <c r="C389" s="3"/>
      <c r="D389" s="3"/>
      <c r="H389" s="4"/>
    </row>
    <row r="390" spans="3:8" ht="13.2">
      <c r="C390" s="3"/>
      <c r="D390" s="3"/>
      <c r="H390" s="4"/>
    </row>
    <row r="391" spans="3:8" ht="13.2">
      <c r="C391" s="3"/>
      <c r="D391" s="3"/>
      <c r="H391" s="4"/>
    </row>
    <row r="392" spans="3:8" ht="13.2">
      <c r="C392" s="3"/>
      <c r="D392" s="3"/>
      <c r="H392" s="4"/>
    </row>
    <row r="393" spans="3:8" ht="13.2">
      <c r="C393" s="3"/>
      <c r="D393" s="3"/>
      <c r="H393" s="4"/>
    </row>
    <row r="394" spans="3:8" ht="13.2">
      <c r="C394" s="3"/>
      <c r="D394" s="3"/>
      <c r="H394" s="4"/>
    </row>
    <row r="395" spans="3:8" ht="13.2">
      <c r="C395" s="3"/>
      <c r="D395" s="3"/>
      <c r="H395" s="4"/>
    </row>
    <row r="396" spans="3:8" ht="13.2">
      <c r="C396" s="3"/>
      <c r="D396" s="3"/>
      <c r="H396" s="4"/>
    </row>
    <row r="397" spans="3:8" ht="13.2">
      <c r="C397" s="3"/>
      <c r="D397" s="3"/>
      <c r="H397" s="4"/>
    </row>
    <row r="398" spans="3:8" ht="13.2">
      <c r="C398" s="3"/>
      <c r="D398" s="3"/>
      <c r="H398" s="4"/>
    </row>
    <row r="399" spans="3:8" ht="13.2">
      <c r="C399" s="3"/>
      <c r="D399" s="3"/>
      <c r="H399" s="4"/>
    </row>
    <row r="400" spans="3:8" ht="13.2">
      <c r="C400" s="3"/>
      <c r="D400" s="3"/>
      <c r="H400" s="4"/>
    </row>
    <row r="401" spans="3:8" ht="13.2">
      <c r="C401" s="3"/>
      <c r="D401" s="3"/>
      <c r="H401" s="4"/>
    </row>
    <row r="402" spans="3:8" ht="13.2">
      <c r="C402" s="3"/>
      <c r="D402" s="3"/>
      <c r="H402" s="4"/>
    </row>
    <row r="403" spans="3:8" ht="13.2">
      <c r="C403" s="3"/>
      <c r="D403" s="3"/>
      <c r="H403" s="4"/>
    </row>
    <row r="404" spans="3:8" ht="13.2">
      <c r="C404" s="3"/>
      <c r="D404" s="3"/>
      <c r="H404" s="4"/>
    </row>
    <row r="405" spans="3:8" ht="13.2">
      <c r="C405" s="3"/>
      <c r="D405" s="3"/>
      <c r="H405" s="4"/>
    </row>
    <row r="406" spans="3:8" ht="13.2">
      <c r="C406" s="3"/>
      <c r="D406" s="3"/>
      <c r="H406" s="4"/>
    </row>
    <row r="407" spans="3:8" ht="13.2">
      <c r="C407" s="3"/>
      <c r="D407" s="3"/>
      <c r="H407" s="4"/>
    </row>
    <row r="408" spans="3:8" ht="13.2">
      <c r="C408" s="3"/>
      <c r="D408" s="3"/>
      <c r="H408" s="4"/>
    </row>
    <row r="409" spans="3:8" ht="13.2">
      <c r="C409" s="3"/>
      <c r="D409" s="3"/>
      <c r="H409" s="4"/>
    </row>
    <row r="410" spans="3:8" ht="13.2">
      <c r="C410" s="3"/>
      <c r="D410" s="3"/>
      <c r="H410" s="4"/>
    </row>
    <row r="411" spans="3:8" ht="13.2">
      <c r="C411" s="3"/>
      <c r="D411" s="3"/>
      <c r="H411" s="4"/>
    </row>
    <row r="412" spans="3:8" ht="13.2">
      <c r="C412" s="3"/>
      <c r="D412" s="3"/>
      <c r="H412" s="4"/>
    </row>
    <row r="413" spans="3:8" ht="13.2">
      <c r="C413" s="3"/>
      <c r="D413" s="3"/>
      <c r="H413" s="4"/>
    </row>
    <row r="414" spans="3:8" ht="13.2">
      <c r="C414" s="3"/>
      <c r="D414" s="3"/>
      <c r="H414" s="4"/>
    </row>
    <row r="415" spans="3:8" ht="13.2">
      <c r="C415" s="3"/>
      <c r="D415" s="3"/>
      <c r="H415" s="4"/>
    </row>
    <row r="416" spans="3:8" ht="13.2">
      <c r="C416" s="3"/>
      <c r="D416" s="3"/>
      <c r="H416" s="4"/>
    </row>
    <row r="417" spans="3:8" ht="13.2">
      <c r="C417" s="3"/>
      <c r="D417" s="3"/>
      <c r="H417" s="4"/>
    </row>
    <row r="418" spans="3:8" ht="13.2">
      <c r="C418" s="3"/>
      <c r="D418" s="3"/>
      <c r="H418" s="4"/>
    </row>
    <row r="419" spans="3:8" ht="13.2">
      <c r="C419" s="3"/>
      <c r="D419" s="3"/>
      <c r="H419" s="4"/>
    </row>
    <row r="420" spans="3:8" ht="13.2">
      <c r="C420" s="3"/>
      <c r="D420" s="3"/>
      <c r="H420" s="4"/>
    </row>
    <row r="421" spans="3:8" ht="13.2">
      <c r="C421" s="3"/>
      <c r="D421" s="3"/>
      <c r="H421" s="4"/>
    </row>
    <row r="422" spans="3:8" ht="13.2">
      <c r="C422" s="3"/>
      <c r="D422" s="3"/>
      <c r="H422" s="4"/>
    </row>
    <row r="423" spans="3:8" ht="13.2">
      <c r="C423" s="3"/>
      <c r="D423" s="3"/>
      <c r="H423" s="4"/>
    </row>
    <row r="424" spans="3:8" ht="13.2">
      <c r="C424" s="3"/>
      <c r="D424" s="3"/>
      <c r="H424" s="4"/>
    </row>
    <row r="425" spans="3:8" ht="13.2">
      <c r="C425" s="3"/>
      <c r="D425" s="3"/>
      <c r="H425" s="4"/>
    </row>
    <row r="426" spans="3:8" ht="13.2">
      <c r="C426" s="3"/>
      <c r="D426" s="3"/>
      <c r="H426" s="4"/>
    </row>
    <row r="427" spans="3:8" ht="13.2">
      <c r="C427" s="3"/>
      <c r="D427" s="3"/>
      <c r="H427" s="4"/>
    </row>
    <row r="428" spans="3:8" ht="13.2">
      <c r="C428" s="3"/>
      <c r="D428" s="3"/>
      <c r="H428" s="4"/>
    </row>
    <row r="429" spans="3:8" ht="13.2">
      <c r="C429" s="3"/>
      <c r="D429" s="3"/>
      <c r="H429" s="4"/>
    </row>
    <row r="430" spans="3:8" ht="13.2">
      <c r="C430" s="3"/>
      <c r="D430" s="3"/>
      <c r="H430" s="4"/>
    </row>
    <row r="431" spans="3:8" ht="13.2">
      <c r="C431" s="3"/>
      <c r="D431" s="3"/>
      <c r="H431" s="4"/>
    </row>
    <row r="432" spans="3:8" ht="13.2">
      <c r="C432" s="3"/>
      <c r="D432" s="3"/>
      <c r="H432" s="4"/>
    </row>
    <row r="433" spans="3:8" ht="13.2">
      <c r="C433" s="3"/>
      <c r="D433" s="3"/>
      <c r="H433" s="4"/>
    </row>
    <row r="434" spans="3:8" ht="13.2">
      <c r="C434" s="3"/>
      <c r="D434" s="3"/>
      <c r="H434" s="4"/>
    </row>
    <row r="435" spans="3:8" ht="13.2">
      <c r="C435" s="3"/>
      <c r="D435" s="3"/>
      <c r="H435" s="4"/>
    </row>
    <row r="436" spans="3:8" ht="13.2">
      <c r="C436" s="3"/>
      <c r="D436" s="3"/>
      <c r="H436" s="4"/>
    </row>
    <row r="437" spans="3:8" ht="13.2">
      <c r="C437" s="3"/>
      <c r="D437" s="3"/>
      <c r="H437" s="4"/>
    </row>
    <row r="438" spans="3:8" ht="13.2">
      <c r="C438" s="3"/>
      <c r="D438" s="3"/>
      <c r="H438" s="4"/>
    </row>
    <row r="439" spans="3:8" ht="13.2">
      <c r="C439" s="3"/>
      <c r="D439" s="3"/>
      <c r="H439" s="4"/>
    </row>
    <row r="440" spans="3:8" ht="13.2">
      <c r="C440" s="3"/>
      <c r="D440" s="3"/>
      <c r="H440" s="4"/>
    </row>
    <row r="441" spans="3:8" ht="13.2">
      <c r="C441" s="3"/>
      <c r="D441" s="3"/>
      <c r="H441" s="4"/>
    </row>
    <row r="442" spans="3:8" ht="13.2">
      <c r="C442" s="3"/>
      <c r="D442" s="3"/>
      <c r="H442" s="4"/>
    </row>
    <row r="443" spans="3:8" ht="13.2">
      <c r="C443" s="3"/>
      <c r="D443" s="3"/>
      <c r="H443" s="4"/>
    </row>
    <row r="444" spans="3:8" ht="13.2">
      <c r="C444" s="3"/>
      <c r="D444" s="3"/>
      <c r="H444" s="4"/>
    </row>
    <row r="445" spans="3:8" ht="13.2">
      <c r="C445" s="3"/>
      <c r="D445" s="3"/>
      <c r="H445" s="4"/>
    </row>
    <row r="446" spans="3:8" ht="13.2">
      <c r="C446" s="3"/>
      <c r="D446" s="3"/>
      <c r="H446" s="4"/>
    </row>
    <row r="447" spans="3:8" ht="13.2">
      <c r="C447" s="3"/>
      <c r="D447" s="3"/>
      <c r="H447" s="4"/>
    </row>
    <row r="448" spans="3:8" ht="13.2">
      <c r="C448" s="3"/>
      <c r="D448" s="3"/>
      <c r="H448" s="4"/>
    </row>
    <row r="449" spans="3:8" ht="13.2">
      <c r="C449" s="3"/>
      <c r="D449" s="3"/>
      <c r="H449" s="4"/>
    </row>
    <row r="450" spans="3:8" ht="13.2">
      <c r="C450" s="3"/>
      <c r="D450" s="3"/>
      <c r="H450" s="4"/>
    </row>
    <row r="451" spans="3:8" ht="13.2">
      <c r="C451" s="3"/>
      <c r="D451" s="3"/>
      <c r="H451" s="4"/>
    </row>
    <row r="452" spans="3:8" ht="13.2">
      <c r="C452" s="3"/>
      <c r="D452" s="3"/>
      <c r="H452" s="4"/>
    </row>
    <row r="453" spans="3:8" ht="13.2">
      <c r="C453" s="3"/>
      <c r="D453" s="3"/>
      <c r="H453" s="4"/>
    </row>
    <row r="454" spans="3:8" ht="13.2">
      <c r="C454" s="3"/>
      <c r="D454" s="3"/>
      <c r="H454" s="4"/>
    </row>
    <row r="455" spans="3:8" ht="13.2">
      <c r="C455" s="3"/>
      <c r="D455" s="3"/>
      <c r="H455" s="4"/>
    </row>
    <row r="456" spans="3:8" ht="13.2">
      <c r="C456" s="3"/>
      <c r="D456" s="3"/>
      <c r="H456" s="4"/>
    </row>
    <row r="457" spans="3:8" ht="13.2">
      <c r="C457" s="3"/>
      <c r="D457" s="3"/>
      <c r="H457" s="4"/>
    </row>
    <row r="458" spans="3:8" ht="13.2">
      <c r="C458" s="3"/>
      <c r="D458" s="3"/>
      <c r="H458" s="4"/>
    </row>
    <row r="459" spans="3:8" ht="13.2">
      <c r="C459" s="3"/>
      <c r="D459" s="3"/>
      <c r="H459" s="4"/>
    </row>
    <row r="460" spans="3:8" ht="13.2">
      <c r="C460" s="3"/>
      <c r="D460" s="3"/>
      <c r="H460" s="4"/>
    </row>
    <row r="461" spans="3:8" ht="13.2">
      <c r="C461" s="3"/>
      <c r="D461" s="3"/>
      <c r="H461" s="4"/>
    </row>
    <row r="462" spans="3:8" ht="13.2">
      <c r="C462" s="3"/>
      <c r="D462" s="3"/>
      <c r="H462" s="4"/>
    </row>
    <row r="463" spans="3:8" ht="13.2">
      <c r="C463" s="3"/>
      <c r="D463" s="3"/>
      <c r="H463" s="4"/>
    </row>
    <row r="464" spans="3:8" ht="13.2">
      <c r="C464" s="3"/>
      <c r="D464" s="3"/>
      <c r="H464" s="4"/>
    </row>
    <row r="465" spans="3:8" ht="13.2">
      <c r="C465" s="3"/>
      <c r="D465" s="3"/>
      <c r="H465" s="4"/>
    </row>
    <row r="466" spans="3:8" ht="13.2">
      <c r="C466" s="3"/>
      <c r="D466" s="3"/>
      <c r="H466" s="4"/>
    </row>
    <row r="467" spans="3:8" ht="13.2">
      <c r="C467" s="3"/>
      <c r="D467" s="3"/>
      <c r="H467" s="4"/>
    </row>
    <row r="468" spans="3:8" ht="13.2">
      <c r="C468" s="3"/>
      <c r="D468" s="3"/>
      <c r="H468" s="4"/>
    </row>
    <row r="469" spans="3:8" ht="13.2">
      <c r="C469" s="3"/>
      <c r="D469" s="3"/>
      <c r="H469" s="4"/>
    </row>
    <row r="470" spans="3:8" ht="13.2">
      <c r="C470" s="3"/>
      <c r="D470" s="3"/>
      <c r="H470" s="4"/>
    </row>
    <row r="471" spans="3:8" ht="13.2">
      <c r="C471" s="3"/>
      <c r="D471" s="3"/>
      <c r="H471" s="4"/>
    </row>
    <row r="472" spans="3:8" ht="13.2">
      <c r="C472" s="3"/>
      <c r="D472" s="3"/>
      <c r="H472" s="4"/>
    </row>
    <row r="473" spans="3:8" ht="13.2">
      <c r="C473" s="3"/>
      <c r="D473" s="3"/>
      <c r="H473" s="4"/>
    </row>
    <row r="474" spans="3:8" ht="13.2">
      <c r="C474" s="3"/>
      <c r="D474" s="3"/>
      <c r="H474" s="4"/>
    </row>
    <row r="475" spans="3:8" ht="13.2">
      <c r="C475" s="3"/>
      <c r="D475" s="3"/>
      <c r="H475" s="4"/>
    </row>
    <row r="476" spans="3:8" ht="13.2">
      <c r="C476" s="3"/>
      <c r="D476" s="3"/>
      <c r="H476" s="4"/>
    </row>
    <row r="477" spans="3:8" ht="13.2">
      <c r="C477" s="3"/>
      <c r="D477" s="3"/>
      <c r="H477" s="4"/>
    </row>
    <row r="478" spans="3:8" ht="13.2">
      <c r="C478" s="3"/>
      <c r="D478" s="3"/>
      <c r="H478" s="4"/>
    </row>
    <row r="479" spans="3:8" ht="13.2">
      <c r="C479" s="3"/>
      <c r="D479" s="3"/>
      <c r="H479" s="4"/>
    </row>
    <row r="480" spans="3:8" ht="13.2">
      <c r="C480" s="3"/>
      <c r="D480" s="3"/>
      <c r="H480" s="4"/>
    </row>
    <row r="481" spans="3:8" ht="13.2">
      <c r="C481" s="3"/>
      <c r="D481" s="3"/>
      <c r="H481" s="4"/>
    </row>
    <row r="482" spans="3:8" ht="13.2">
      <c r="C482" s="3"/>
      <c r="D482" s="3"/>
      <c r="H482" s="4"/>
    </row>
    <row r="483" spans="3:8" ht="13.2">
      <c r="C483" s="3"/>
      <c r="D483" s="3"/>
      <c r="H483" s="4"/>
    </row>
    <row r="484" spans="3:8" ht="13.2">
      <c r="C484" s="3"/>
      <c r="D484" s="3"/>
      <c r="H484" s="4"/>
    </row>
    <row r="485" spans="3:8" ht="13.2">
      <c r="C485" s="3"/>
      <c r="D485" s="3"/>
      <c r="H485" s="4"/>
    </row>
    <row r="486" spans="3:8" ht="13.2">
      <c r="C486" s="3"/>
      <c r="D486" s="3"/>
      <c r="H486" s="4"/>
    </row>
    <row r="487" spans="3:8" ht="13.2">
      <c r="C487" s="3"/>
      <c r="D487" s="3"/>
      <c r="H487" s="4"/>
    </row>
    <row r="488" spans="3:8" ht="13.2">
      <c r="C488" s="3"/>
      <c r="D488" s="3"/>
      <c r="H488" s="4"/>
    </row>
    <row r="489" spans="3:8" ht="13.2">
      <c r="C489" s="3"/>
      <c r="D489" s="3"/>
      <c r="H489" s="4"/>
    </row>
    <row r="490" spans="3:8" ht="13.2">
      <c r="C490" s="3"/>
      <c r="D490" s="3"/>
      <c r="H490" s="4"/>
    </row>
    <row r="491" spans="3:8" ht="13.2">
      <c r="C491" s="3"/>
      <c r="D491" s="3"/>
      <c r="H491" s="4"/>
    </row>
    <row r="492" spans="3:8" ht="13.2">
      <c r="C492" s="3"/>
      <c r="D492" s="3"/>
      <c r="H492" s="4"/>
    </row>
    <row r="493" spans="3:8" ht="13.2">
      <c r="C493" s="3"/>
      <c r="D493" s="3"/>
      <c r="H493" s="4"/>
    </row>
    <row r="494" spans="3:8" ht="13.2">
      <c r="C494" s="3"/>
      <c r="D494" s="3"/>
      <c r="H494" s="4"/>
    </row>
    <row r="495" spans="3:8" ht="13.2">
      <c r="C495" s="3"/>
      <c r="D495" s="3"/>
      <c r="H495" s="4"/>
    </row>
    <row r="496" spans="3:8" ht="13.2">
      <c r="C496" s="3"/>
      <c r="D496" s="3"/>
      <c r="H496" s="4"/>
    </row>
    <row r="497" spans="3:8" ht="13.2">
      <c r="C497" s="3"/>
      <c r="D497" s="3"/>
      <c r="H497" s="4"/>
    </row>
    <row r="498" spans="3:8" ht="13.2">
      <c r="C498" s="3"/>
      <c r="D498" s="3"/>
      <c r="H498" s="4"/>
    </row>
    <row r="499" spans="3:8" ht="13.2">
      <c r="C499" s="3"/>
      <c r="D499" s="3"/>
      <c r="H499" s="4"/>
    </row>
    <row r="500" spans="3:8" ht="13.2">
      <c r="C500" s="3"/>
      <c r="D500" s="3"/>
      <c r="H500" s="4"/>
    </row>
    <row r="501" spans="3:8" ht="13.2">
      <c r="C501" s="3"/>
      <c r="D501" s="3"/>
      <c r="H501" s="4"/>
    </row>
    <row r="502" spans="3:8" ht="13.2">
      <c r="C502" s="3"/>
      <c r="D502" s="3"/>
      <c r="H502" s="4"/>
    </row>
    <row r="503" spans="3:8" ht="13.2">
      <c r="C503" s="3"/>
      <c r="D503" s="3"/>
      <c r="H503" s="4"/>
    </row>
    <row r="504" spans="3:8" ht="13.2">
      <c r="C504" s="3"/>
      <c r="D504" s="3"/>
      <c r="H504" s="4"/>
    </row>
    <row r="505" spans="3:8" ht="13.2">
      <c r="C505" s="3"/>
      <c r="D505" s="3"/>
      <c r="H505" s="4"/>
    </row>
    <row r="506" spans="3:8" ht="13.2">
      <c r="C506" s="3"/>
      <c r="D506" s="3"/>
      <c r="H506" s="4"/>
    </row>
    <row r="507" spans="3:8" ht="13.2">
      <c r="C507" s="3"/>
      <c r="D507" s="3"/>
      <c r="H507" s="4"/>
    </row>
    <row r="508" spans="3:8" ht="13.2">
      <c r="C508" s="3"/>
      <c r="D508" s="3"/>
      <c r="H508" s="4"/>
    </row>
    <row r="509" spans="3:8" ht="13.2">
      <c r="C509" s="3"/>
      <c r="D509" s="3"/>
      <c r="H509" s="4"/>
    </row>
    <row r="510" spans="3:8" ht="13.2">
      <c r="C510" s="3"/>
      <c r="D510" s="3"/>
      <c r="H510" s="4"/>
    </row>
    <row r="511" spans="3:8" ht="13.2">
      <c r="C511" s="3"/>
      <c r="D511" s="3"/>
      <c r="H511" s="4"/>
    </row>
    <row r="512" spans="3:8" ht="13.2">
      <c r="C512" s="3"/>
      <c r="D512" s="3"/>
      <c r="H512" s="4"/>
    </row>
    <row r="513" spans="3:8" ht="13.2">
      <c r="C513" s="3"/>
      <c r="D513" s="3"/>
      <c r="H513" s="4"/>
    </row>
    <row r="514" spans="3:8" ht="13.2">
      <c r="C514" s="3"/>
      <c r="D514" s="3"/>
      <c r="H514" s="4"/>
    </row>
    <row r="515" spans="3:8" ht="13.2">
      <c r="C515" s="3"/>
      <c r="D515" s="3"/>
      <c r="H515" s="4"/>
    </row>
    <row r="516" spans="3:8" ht="13.2">
      <c r="C516" s="3"/>
      <c r="D516" s="3"/>
      <c r="H516" s="4"/>
    </row>
    <row r="517" spans="3:8" ht="13.2">
      <c r="C517" s="3"/>
      <c r="D517" s="3"/>
      <c r="H517" s="4"/>
    </row>
    <row r="518" spans="3:8" ht="13.2">
      <c r="C518" s="3"/>
      <c r="D518" s="3"/>
      <c r="H518" s="4"/>
    </row>
    <row r="519" spans="3:8" ht="13.2">
      <c r="C519" s="3"/>
      <c r="D519" s="3"/>
      <c r="H519" s="4"/>
    </row>
    <row r="520" spans="3:8" ht="13.2">
      <c r="C520" s="3"/>
      <c r="D520" s="3"/>
      <c r="H520" s="4"/>
    </row>
    <row r="521" spans="3:8" ht="13.2">
      <c r="C521" s="3"/>
      <c r="D521" s="3"/>
      <c r="H521" s="4"/>
    </row>
    <row r="522" spans="3:8" ht="13.2">
      <c r="C522" s="3"/>
      <c r="D522" s="3"/>
      <c r="H522" s="4"/>
    </row>
    <row r="523" spans="3:8" ht="13.2">
      <c r="C523" s="3"/>
      <c r="D523" s="3"/>
      <c r="H523" s="4"/>
    </row>
    <row r="524" spans="3:8" ht="13.2">
      <c r="C524" s="3"/>
      <c r="D524" s="3"/>
      <c r="H524" s="4"/>
    </row>
    <row r="525" spans="3:8" ht="13.2">
      <c r="C525" s="3"/>
      <c r="D525" s="3"/>
      <c r="H525" s="4"/>
    </row>
    <row r="526" spans="3:8" ht="13.2">
      <c r="C526" s="3"/>
      <c r="D526" s="3"/>
      <c r="H526" s="4"/>
    </row>
    <row r="527" spans="3:8" ht="13.2">
      <c r="C527" s="3"/>
      <c r="D527" s="3"/>
      <c r="H527" s="4"/>
    </row>
    <row r="528" spans="3:8" ht="13.2">
      <c r="C528" s="3"/>
      <c r="D528" s="3"/>
      <c r="H528" s="4"/>
    </row>
    <row r="529" spans="3:8" ht="13.2">
      <c r="C529" s="3"/>
      <c r="D529" s="3"/>
      <c r="H529" s="4"/>
    </row>
    <row r="530" spans="3:8" ht="13.2">
      <c r="C530" s="3"/>
      <c r="D530" s="3"/>
      <c r="H530" s="4"/>
    </row>
    <row r="531" spans="3:8" ht="13.2">
      <c r="C531" s="3"/>
      <c r="D531" s="3"/>
      <c r="H531" s="4"/>
    </row>
    <row r="532" spans="3:8" ht="13.2">
      <c r="C532" s="3"/>
      <c r="D532" s="3"/>
      <c r="H532" s="4"/>
    </row>
    <row r="533" spans="3:8" ht="13.2">
      <c r="C533" s="3"/>
      <c r="D533" s="3"/>
      <c r="H533" s="4"/>
    </row>
    <row r="534" spans="3:8" ht="13.2">
      <c r="C534" s="3"/>
      <c r="D534" s="3"/>
      <c r="H534" s="4"/>
    </row>
    <row r="535" spans="3:8" ht="13.2">
      <c r="C535" s="3"/>
      <c r="D535" s="3"/>
      <c r="H535" s="4"/>
    </row>
    <row r="536" spans="3:8" ht="13.2">
      <c r="C536" s="3"/>
      <c r="D536" s="3"/>
      <c r="H536" s="4"/>
    </row>
    <row r="537" spans="3:8" ht="13.2">
      <c r="C537" s="3"/>
      <c r="D537" s="3"/>
      <c r="H537" s="4"/>
    </row>
    <row r="538" spans="3:8" ht="13.2">
      <c r="C538" s="3"/>
      <c r="D538" s="3"/>
      <c r="H538" s="4"/>
    </row>
    <row r="539" spans="3:8" ht="13.2">
      <c r="C539" s="3"/>
      <c r="D539" s="3"/>
      <c r="H539" s="4"/>
    </row>
    <row r="540" spans="3:8" ht="13.2">
      <c r="C540" s="3"/>
      <c r="D540" s="3"/>
      <c r="H540" s="4"/>
    </row>
    <row r="541" spans="3:8" ht="13.2">
      <c r="C541" s="3"/>
      <c r="D541" s="3"/>
      <c r="H541" s="4"/>
    </row>
    <row r="542" spans="3:8" ht="13.2">
      <c r="C542" s="3"/>
      <c r="D542" s="3"/>
      <c r="H542" s="4"/>
    </row>
    <row r="543" spans="3:8" ht="13.2">
      <c r="C543" s="3"/>
      <c r="D543" s="3"/>
      <c r="H543" s="4"/>
    </row>
    <row r="544" spans="3:8" ht="13.2">
      <c r="C544" s="3"/>
      <c r="D544" s="3"/>
      <c r="H544" s="4"/>
    </row>
    <row r="545" spans="3:8" ht="13.2">
      <c r="C545" s="3"/>
      <c r="D545" s="3"/>
      <c r="H545" s="4"/>
    </row>
    <row r="546" spans="3:8" ht="13.2">
      <c r="C546" s="3"/>
      <c r="D546" s="3"/>
      <c r="H546" s="4"/>
    </row>
    <row r="547" spans="3:8" ht="13.2">
      <c r="C547" s="3"/>
      <c r="D547" s="3"/>
      <c r="H547" s="4"/>
    </row>
    <row r="548" spans="3:8" ht="13.2">
      <c r="C548" s="3"/>
      <c r="D548" s="3"/>
      <c r="H548" s="4"/>
    </row>
    <row r="549" spans="3:8" ht="13.2">
      <c r="C549" s="3"/>
      <c r="D549" s="3"/>
      <c r="H549" s="4"/>
    </row>
    <row r="550" spans="3:8" ht="13.2">
      <c r="C550" s="3"/>
      <c r="D550" s="3"/>
      <c r="H550" s="4"/>
    </row>
    <row r="551" spans="3:8" ht="13.2">
      <c r="C551" s="3"/>
      <c r="D551" s="3"/>
      <c r="H551" s="4"/>
    </row>
    <row r="552" spans="3:8" ht="13.2">
      <c r="C552" s="3"/>
      <c r="D552" s="3"/>
      <c r="H552" s="4"/>
    </row>
    <row r="553" spans="3:8" ht="13.2">
      <c r="C553" s="3"/>
      <c r="D553" s="3"/>
      <c r="H553" s="4"/>
    </row>
    <row r="554" spans="3:8" ht="13.2">
      <c r="C554" s="3"/>
      <c r="D554" s="3"/>
      <c r="H554" s="4"/>
    </row>
    <row r="555" spans="3:8" ht="13.2">
      <c r="C555" s="3"/>
      <c r="D555" s="3"/>
      <c r="H555" s="4"/>
    </row>
    <row r="556" spans="3:8" ht="13.2">
      <c r="C556" s="3"/>
      <c r="D556" s="3"/>
      <c r="H556" s="4"/>
    </row>
    <row r="557" spans="3:8" ht="13.2">
      <c r="C557" s="3"/>
      <c r="D557" s="3"/>
      <c r="H557" s="4"/>
    </row>
    <row r="558" spans="3:8" ht="13.2">
      <c r="C558" s="3"/>
      <c r="D558" s="3"/>
      <c r="H558" s="4"/>
    </row>
    <row r="559" spans="3:8" ht="13.2">
      <c r="C559" s="3"/>
      <c r="D559" s="3"/>
      <c r="H559" s="4"/>
    </row>
    <row r="560" spans="3:8" ht="13.2">
      <c r="C560" s="3"/>
      <c r="D560" s="3"/>
      <c r="H560" s="4"/>
    </row>
    <row r="561" spans="3:8" ht="13.2">
      <c r="C561" s="3"/>
      <c r="D561" s="3"/>
      <c r="H561" s="4"/>
    </row>
    <row r="562" spans="3:8" ht="13.2">
      <c r="C562" s="3"/>
      <c r="D562" s="3"/>
      <c r="H562" s="4"/>
    </row>
    <row r="563" spans="3:8" ht="13.2">
      <c r="C563" s="3"/>
      <c r="D563" s="3"/>
      <c r="H563" s="4"/>
    </row>
    <row r="564" spans="3:8" ht="13.2">
      <c r="C564" s="3"/>
      <c r="D564" s="3"/>
      <c r="H564" s="4"/>
    </row>
    <row r="565" spans="3:8" ht="13.2">
      <c r="C565" s="3"/>
      <c r="D565" s="3"/>
      <c r="H565" s="4"/>
    </row>
    <row r="566" spans="3:8" ht="13.2">
      <c r="C566" s="3"/>
      <c r="D566" s="3"/>
      <c r="H566" s="4"/>
    </row>
    <row r="567" spans="3:8" ht="13.2">
      <c r="C567" s="3"/>
      <c r="D567" s="3"/>
      <c r="H567" s="4"/>
    </row>
    <row r="568" spans="3:8" ht="13.2">
      <c r="C568" s="3"/>
      <c r="D568" s="3"/>
      <c r="H568" s="4"/>
    </row>
    <row r="569" spans="3:8" ht="13.2">
      <c r="C569" s="3"/>
      <c r="D569" s="3"/>
      <c r="H569" s="4"/>
    </row>
    <row r="570" spans="3:8" ht="13.2">
      <c r="C570" s="3"/>
      <c r="D570" s="3"/>
      <c r="H570" s="4"/>
    </row>
    <row r="571" spans="3:8" ht="13.2">
      <c r="C571" s="3"/>
      <c r="D571" s="3"/>
      <c r="H571" s="4"/>
    </row>
    <row r="572" spans="3:8" ht="13.2">
      <c r="C572" s="3"/>
      <c r="D572" s="3"/>
      <c r="H572" s="4"/>
    </row>
    <row r="573" spans="3:8" ht="13.2">
      <c r="C573" s="3"/>
      <c r="D573" s="3"/>
      <c r="H573" s="4"/>
    </row>
    <row r="574" spans="3:8" ht="13.2">
      <c r="C574" s="3"/>
      <c r="D574" s="3"/>
      <c r="H574" s="4"/>
    </row>
    <row r="575" spans="3:8" ht="13.2">
      <c r="C575" s="3"/>
      <c r="D575" s="3"/>
      <c r="H575" s="4"/>
    </row>
    <row r="576" spans="3:8" ht="13.2">
      <c r="C576" s="3"/>
      <c r="D576" s="3"/>
      <c r="H576" s="4"/>
    </row>
    <row r="577" spans="3:8" ht="13.2">
      <c r="C577" s="3"/>
      <c r="D577" s="3"/>
      <c r="H577" s="4"/>
    </row>
    <row r="578" spans="3:8" ht="13.2">
      <c r="C578" s="3"/>
      <c r="D578" s="3"/>
      <c r="H578" s="4"/>
    </row>
    <row r="579" spans="3:8" ht="13.2">
      <c r="C579" s="3"/>
      <c r="D579" s="3"/>
      <c r="H579" s="4"/>
    </row>
    <row r="580" spans="3:8" ht="13.2">
      <c r="C580" s="3"/>
      <c r="D580" s="3"/>
      <c r="H580" s="4"/>
    </row>
    <row r="581" spans="3:8" ht="13.2">
      <c r="C581" s="3"/>
      <c r="D581" s="3"/>
      <c r="H581" s="4"/>
    </row>
    <row r="582" spans="3:8" ht="13.2">
      <c r="C582" s="3"/>
      <c r="D582" s="3"/>
      <c r="H582" s="4"/>
    </row>
    <row r="583" spans="3:8" ht="13.2">
      <c r="C583" s="3"/>
      <c r="D583" s="3"/>
      <c r="H583" s="4"/>
    </row>
    <row r="584" spans="3:8" ht="13.2">
      <c r="C584" s="3"/>
      <c r="D584" s="3"/>
      <c r="H584" s="4"/>
    </row>
    <row r="585" spans="3:8" ht="13.2">
      <c r="C585" s="3"/>
      <c r="D585" s="3"/>
      <c r="H585" s="4"/>
    </row>
    <row r="586" spans="3:8" ht="13.2">
      <c r="C586" s="3"/>
      <c r="D586" s="3"/>
      <c r="H586" s="4"/>
    </row>
    <row r="587" spans="3:8" ht="13.2">
      <c r="C587" s="3"/>
      <c r="D587" s="3"/>
      <c r="H587" s="4"/>
    </row>
    <row r="588" spans="3:8" ht="13.2">
      <c r="C588" s="3"/>
      <c r="D588" s="3"/>
      <c r="H588" s="4"/>
    </row>
    <row r="589" spans="3:8" ht="13.2">
      <c r="C589" s="3"/>
      <c r="D589" s="3"/>
      <c r="H589" s="4"/>
    </row>
    <row r="590" spans="3:8" ht="13.2">
      <c r="C590" s="3"/>
      <c r="D590" s="3"/>
      <c r="H590" s="4"/>
    </row>
    <row r="591" spans="3:8" ht="13.2">
      <c r="C591" s="3"/>
      <c r="D591" s="3"/>
      <c r="H591" s="4"/>
    </row>
    <row r="592" spans="3:8" ht="13.2">
      <c r="C592" s="3"/>
      <c r="D592" s="3"/>
      <c r="H592" s="4"/>
    </row>
    <row r="593" spans="3:8" ht="13.2">
      <c r="C593" s="3"/>
      <c r="D593" s="3"/>
      <c r="H593" s="4"/>
    </row>
    <row r="594" spans="3:8" ht="13.2">
      <c r="C594" s="3"/>
      <c r="D594" s="3"/>
      <c r="H594" s="4"/>
    </row>
    <row r="595" spans="3:8" ht="13.2">
      <c r="C595" s="3"/>
      <c r="D595" s="3"/>
      <c r="H595" s="4"/>
    </row>
    <row r="596" spans="3:8" ht="13.2">
      <c r="C596" s="3"/>
      <c r="D596" s="3"/>
      <c r="H596" s="4"/>
    </row>
    <row r="597" spans="3:8" ht="13.2">
      <c r="C597" s="3"/>
      <c r="D597" s="3"/>
      <c r="H597" s="4"/>
    </row>
    <row r="598" spans="3:8" ht="13.2">
      <c r="C598" s="3"/>
      <c r="D598" s="3"/>
      <c r="H598" s="4"/>
    </row>
    <row r="599" spans="3:8" ht="13.2">
      <c r="C599" s="3"/>
      <c r="D599" s="3"/>
      <c r="H599" s="4"/>
    </row>
    <row r="600" spans="3:8" ht="13.2">
      <c r="C600" s="3"/>
      <c r="D600" s="3"/>
      <c r="H600" s="4"/>
    </row>
    <row r="601" spans="3:8" ht="13.2">
      <c r="C601" s="3"/>
      <c r="D601" s="3"/>
      <c r="H601" s="4"/>
    </row>
    <row r="602" spans="3:8" ht="13.2">
      <c r="C602" s="3"/>
      <c r="D602" s="3"/>
      <c r="H602" s="4"/>
    </row>
    <row r="603" spans="3:8" ht="13.2">
      <c r="C603" s="3"/>
      <c r="D603" s="3"/>
      <c r="H603" s="4"/>
    </row>
    <row r="604" spans="3:8" ht="13.2">
      <c r="C604" s="3"/>
      <c r="D604" s="3"/>
      <c r="H604" s="4"/>
    </row>
    <row r="605" spans="3:8" ht="13.2">
      <c r="C605" s="3"/>
      <c r="D605" s="3"/>
      <c r="H605" s="4"/>
    </row>
    <row r="606" spans="3:8" ht="13.2">
      <c r="C606" s="3"/>
      <c r="D606" s="3"/>
      <c r="H606" s="4"/>
    </row>
    <row r="607" spans="3:8" ht="13.2">
      <c r="C607" s="3"/>
      <c r="D607" s="3"/>
      <c r="H607" s="4"/>
    </row>
    <row r="608" spans="3:8" ht="13.2">
      <c r="C608" s="3"/>
      <c r="D608" s="3"/>
      <c r="H608" s="4"/>
    </row>
    <row r="609" spans="3:8" ht="13.2">
      <c r="C609" s="3"/>
      <c r="D609" s="3"/>
      <c r="H609" s="4"/>
    </row>
    <row r="610" spans="3:8" ht="13.2">
      <c r="C610" s="3"/>
      <c r="D610" s="3"/>
      <c r="H610" s="4"/>
    </row>
    <row r="611" spans="3:8" ht="13.2">
      <c r="C611" s="3"/>
      <c r="D611" s="3"/>
      <c r="H611" s="4"/>
    </row>
    <row r="612" spans="3:8" ht="13.2">
      <c r="C612" s="3"/>
      <c r="D612" s="3"/>
      <c r="H612" s="4"/>
    </row>
    <row r="613" spans="3:8" ht="13.2">
      <c r="C613" s="3"/>
      <c r="D613" s="3"/>
      <c r="H613" s="4"/>
    </row>
    <row r="614" spans="3:8" ht="13.2">
      <c r="C614" s="3"/>
      <c r="D614" s="3"/>
      <c r="H614" s="4"/>
    </row>
    <row r="615" spans="3:8" ht="13.2">
      <c r="C615" s="3"/>
      <c r="D615" s="3"/>
      <c r="H615" s="4"/>
    </row>
    <row r="616" spans="3:8" ht="13.2">
      <c r="C616" s="3"/>
      <c r="D616" s="3"/>
      <c r="H616" s="4"/>
    </row>
    <row r="617" spans="3:8" ht="13.2">
      <c r="C617" s="3"/>
      <c r="D617" s="3"/>
      <c r="H617" s="4"/>
    </row>
    <row r="618" spans="3:8" ht="13.2">
      <c r="C618" s="3"/>
      <c r="D618" s="3"/>
      <c r="H618" s="4"/>
    </row>
    <row r="619" spans="3:8" ht="13.2">
      <c r="C619" s="3"/>
      <c r="D619" s="3"/>
      <c r="H619" s="4"/>
    </row>
    <row r="620" spans="3:8" ht="13.2">
      <c r="C620" s="3"/>
      <c r="D620" s="3"/>
      <c r="H620" s="4"/>
    </row>
    <row r="621" spans="3:8" ht="13.2">
      <c r="C621" s="3"/>
      <c r="D621" s="3"/>
      <c r="H621" s="4"/>
    </row>
    <row r="622" spans="3:8" ht="13.2">
      <c r="C622" s="3"/>
      <c r="D622" s="3"/>
      <c r="H622" s="4"/>
    </row>
    <row r="623" spans="3:8" ht="13.2">
      <c r="C623" s="3"/>
      <c r="D623" s="3"/>
      <c r="H623" s="4"/>
    </row>
    <row r="624" spans="3:8" ht="13.2">
      <c r="C624" s="3"/>
      <c r="D624" s="3"/>
      <c r="H624" s="4"/>
    </row>
    <row r="625" spans="3:8" ht="13.2">
      <c r="C625" s="3"/>
      <c r="D625" s="3"/>
      <c r="H625" s="4"/>
    </row>
    <row r="626" spans="3:8" ht="13.2">
      <c r="C626" s="3"/>
      <c r="D626" s="3"/>
      <c r="H626" s="4"/>
    </row>
    <row r="627" spans="3:8" ht="13.2">
      <c r="C627" s="3"/>
      <c r="D627" s="3"/>
      <c r="H627" s="4"/>
    </row>
    <row r="628" spans="3:8" ht="13.2">
      <c r="C628" s="3"/>
      <c r="D628" s="3"/>
      <c r="H628" s="4"/>
    </row>
    <row r="629" spans="3:8" ht="13.2">
      <c r="C629" s="3"/>
      <c r="D629" s="3"/>
      <c r="H629" s="4"/>
    </row>
    <row r="630" spans="3:8" ht="13.2">
      <c r="C630" s="3"/>
      <c r="D630" s="3"/>
      <c r="H630" s="4"/>
    </row>
    <row r="631" spans="3:8" ht="13.2">
      <c r="C631" s="3"/>
      <c r="D631" s="3"/>
      <c r="H631" s="4"/>
    </row>
    <row r="632" spans="3:8" ht="13.2">
      <c r="C632" s="3"/>
      <c r="D632" s="3"/>
      <c r="H632" s="4"/>
    </row>
    <row r="633" spans="3:8" ht="13.2">
      <c r="C633" s="3"/>
      <c r="D633" s="3"/>
      <c r="H633" s="4"/>
    </row>
    <row r="634" spans="3:8" ht="13.2">
      <c r="C634" s="3"/>
      <c r="D634" s="3"/>
      <c r="H634" s="4"/>
    </row>
    <row r="635" spans="3:8" ht="13.2">
      <c r="C635" s="3"/>
      <c r="D635" s="3"/>
      <c r="H635" s="4"/>
    </row>
    <row r="636" spans="3:8" ht="13.2">
      <c r="C636" s="3"/>
      <c r="D636" s="3"/>
      <c r="H636" s="4"/>
    </row>
    <row r="637" spans="3:8" ht="13.2">
      <c r="C637" s="3"/>
      <c r="D637" s="3"/>
      <c r="H637" s="4"/>
    </row>
    <row r="638" spans="3:8" ht="13.2">
      <c r="C638" s="3"/>
      <c r="D638" s="3"/>
      <c r="H638" s="4"/>
    </row>
    <row r="639" spans="3:8" ht="13.2">
      <c r="C639" s="3"/>
      <c r="D639" s="3"/>
      <c r="H639" s="4"/>
    </row>
    <row r="640" spans="3:8" ht="13.2">
      <c r="C640" s="3"/>
      <c r="D640" s="3"/>
      <c r="H640" s="4"/>
    </row>
    <row r="641" spans="3:8" ht="13.2">
      <c r="C641" s="3"/>
      <c r="D641" s="3"/>
      <c r="H641" s="4"/>
    </row>
    <row r="642" spans="3:8" ht="13.2">
      <c r="C642" s="3"/>
      <c r="D642" s="3"/>
      <c r="H642" s="4"/>
    </row>
    <row r="643" spans="3:8" ht="13.2">
      <c r="C643" s="3"/>
      <c r="D643" s="3"/>
      <c r="H643" s="4"/>
    </row>
    <row r="644" spans="3:8" ht="13.2">
      <c r="C644" s="3"/>
      <c r="D644" s="3"/>
      <c r="H644" s="4"/>
    </row>
    <row r="645" spans="3:8" ht="13.2">
      <c r="C645" s="3"/>
      <c r="D645" s="3"/>
      <c r="H645" s="4"/>
    </row>
    <row r="646" spans="3:8" ht="13.2">
      <c r="C646" s="3"/>
      <c r="D646" s="3"/>
      <c r="H646" s="4"/>
    </row>
    <row r="647" spans="3:8" ht="13.2">
      <c r="C647" s="3"/>
      <c r="D647" s="3"/>
      <c r="H647" s="4"/>
    </row>
    <row r="648" spans="3:8" ht="13.2">
      <c r="C648" s="3"/>
      <c r="D648" s="3"/>
      <c r="H648" s="4"/>
    </row>
    <row r="649" spans="3:8" ht="13.2">
      <c r="C649" s="3"/>
      <c r="D649" s="3"/>
      <c r="H649" s="4"/>
    </row>
    <row r="650" spans="3:8" ht="13.2">
      <c r="C650" s="3"/>
      <c r="D650" s="3"/>
      <c r="H650" s="4"/>
    </row>
    <row r="651" spans="3:8" ht="13.2">
      <c r="C651" s="3"/>
      <c r="D651" s="3"/>
      <c r="H651" s="4"/>
    </row>
    <row r="652" spans="3:8" ht="13.2">
      <c r="C652" s="3"/>
      <c r="D652" s="3"/>
      <c r="H652" s="4"/>
    </row>
    <row r="653" spans="3:8" ht="13.2">
      <c r="C653" s="3"/>
      <c r="D653" s="3"/>
      <c r="H653" s="4"/>
    </row>
    <row r="654" spans="3:8" ht="13.2">
      <c r="C654" s="3"/>
      <c r="D654" s="3"/>
      <c r="H654" s="4"/>
    </row>
    <row r="655" spans="3:8" ht="13.2">
      <c r="C655" s="3"/>
      <c r="D655" s="3"/>
      <c r="H655" s="4"/>
    </row>
    <row r="656" spans="3:8" ht="13.2">
      <c r="C656" s="3"/>
      <c r="D656" s="3"/>
      <c r="H656" s="4"/>
    </row>
    <row r="657" spans="3:8" ht="13.2">
      <c r="C657" s="3"/>
      <c r="D657" s="3"/>
      <c r="H657" s="4"/>
    </row>
    <row r="658" spans="3:8" ht="13.2">
      <c r="C658" s="3"/>
      <c r="D658" s="3"/>
      <c r="H658" s="4"/>
    </row>
    <row r="659" spans="3:8" ht="13.2">
      <c r="C659" s="3"/>
      <c r="D659" s="3"/>
      <c r="H659" s="4"/>
    </row>
    <row r="660" spans="3:8" ht="13.2">
      <c r="C660" s="3"/>
      <c r="D660" s="3"/>
      <c r="H660" s="4"/>
    </row>
    <row r="661" spans="3:8" ht="13.2">
      <c r="C661" s="3"/>
      <c r="D661" s="3"/>
      <c r="H661" s="4"/>
    </row>
    <row r="662" spans="3:8" ht="13.2">
      <c r="C662" s="3"/>
      <c r="D662" s="3"/>
      <c r="H662" s="4"/>
    </row>
    <row r="663" spans="3:8" ht="13.2">
      <c r="C663" s="3"/>
      <c r="D663" s="3"/>
      <c r="H663" s="4"/>
    </row>
    <row r="664" spans="3:8" ht="13.2">
      <c r="C664" s="3"/>
      <c r="D664" s="3"/>
      <c r="H664" s="4"/>
    </row>
    <row r="665" spans="3:8" ht="13.2">
      <c r="C665" s="3"/>
      <c r="D665" s="3"/>
      <c r="H665" s="4"/>
    </row>
    <row r="666" spans="3:8" ht="13.2">
      <c r="C666" s="3"/>
      <c r="D666" s="3"/>
      <c r="H666" s="4"/>
    </row>
    <row r="667" spans="3:8" ht="13.2">
      <c r="C667" s="3"/>
      <c r="D667" s="3"/>
      <c r="H667" s="4"/>
    </row>
    <row r="668" spans="3:8" ht="13.2">
      <c r="C668" s="3"/>
      <c r="D668" s="3"/>
      <c r="H668" s="4"/>
    </row>
    <row r="669" spans="3:8" ht="13.2">
      <c r="C669" s="3"/>
      <c r="D669" s="3"/>
      <c r="H669" s="4"/>
    </row>
    <row r="670" spans="3:8" ht="13.2">
      <c r="C670" s="3"/>
      <c r="D670" s="3"/>
      <c r="H670" s="4"/>
    </row>
    <row r="671" spans="3:8" ht="13.2">
      <c r="C671" s="3"/>
      <c r="D671" s="3"/>
      <c r="H671" s="4"/>
    </row>
    <row r="672" spans="3:8" ht="13.2">
      <c r="C672" s="3"/>
      <c r="D672" s="3"/>
      <c r="H672" s="4"/>
    </row>
    <row r="673" spans="3:8" ht="13.2">
      <c r="C673" s="3"/>
      <c r="D673" s="3"/>
      <c r="H673" s="4"/>
    </row>
    <row r="674" spans="3:8" ht="13.2">
      <c r="C674" s="3"/>
      <c r="D674" s="3"/>
      <c r="H674" s="4"/>
    </row>
    <row r="675" spans="3:8" ht="13.2">
      <c r="C675" s="3"/>
      <c r="D675" s="3"/>
      <c r="H675" s="4"/>
    </row>
    <row r="676" spans="3:8" ht="13.2">
      <c r="C676" s="3"/>
      <c r="D676" s="3"/>
      <c r="H676" s="4"/>
    </row>
    <row r="677" spans="3:8" ht="13.2">
      <c r="C677" s="3"/>
      <c r="D677" s="3"/>
      <c r="H677" s="4"/>
    </row>
    <row r="678" spans="3:8" ht="13.2">
      <c r="C678" s="3"/>
      <c r="D678" s="3"/>
      <c r="H678" s="4"/>
    </row>
    <row r="679" spans="3:8" ht="13.2">
      <c r="C679" s="3"/>
      <c r="D679" s="3"/>
      <c r="H679" s="4"/>
    </row>
    <row r="680" spans="3:8" ht="13.2">
      <c r="C680" s="3"/>
      <c r="D680" s="3"/>
      <c r="H680" s="4"/>
    </row>
    <row r="681" spans="3:8" ht="13.2">
      <c r="C681" s="3"/>
      <c r="D681" s="3"/>
      <c r="H681" s="4"/>
    </row>
    <row r="682" spans="3:8" ht="13.2">
      <c r="C682" s="3"/>
      <c r="D682" s="3"/>
      <c r="H682" s="4"/>
    </row>
    <row r="683" spans="3:8" ht="13.2">
      <c r="C683" s="3"/>
      <c r="D683" s="3"/>
      <c r="H683" s="4"/>
    </row>
    <row r="684" spans="3:8" ht="13.2">
      <c r="C684" s="3"/>
      <c r="D684" s="3"/>
      <c r="H684" s="4"/>
    </row>
    <row r="685" spans="3:8" ht="13.2">
      <c r="C685" s="3"/>
      <c r="D685" s="3"/>
      <c r="H685" s="4"/>
    </row>
    <row r="686" spans="3:8" ht="13.2">
      <c r="C686" s="3"/>
      <c r="D686" s="3"/>
      <c r="H686" s="4"/>
    </row>
    <row r="687" spans="3:8" ht="13.2">
      <c r="C687" s="3"/>
      <c r="D687" s="3"/>
      <c r="H687" s="4"/>
    </row>
    <row r="688" spans="3:8" ht="13.2">
      <c r="C688" s="3"/>
      <c r="D688" s="3"/>
      <c r="H688" s="4"/>
    </row>
    <row r="689" spans="3:8" ht="13.2">
      <c r="C689" s="3"/>
      <c r="D689" s="3"/>
      <c r="H689" s="4"/>
    </row>
    <row r="690" spans="3:8" ht="13.2">
      <c r="C690" s="3"/>
      <c r="D690" s="3"/>
      <c r="H690" s="4"/>
    </row>
    <row r="691" spans="3:8" ht="13.2">
      <c r="C691" s="3"/>
      <c r="D691" s="3"/>
      <c r="H691" s="4"/>
    </row>
    <row r="692" spans="3:8" ht="13.2">
      <c r="C692" s="3"/>
      <c r="D692" s="3"/>
      <c r="H692" s="4"/>
    </row>
    <row r="693" spans="3:8" ht="13.2">
      <c r="C693" s="3"/>
      <c r="D693" s="3"/>
      <c r="H693" s="4"/>
    </row>
    <row r="694" spans="3:8" ht="13.2">
      <c r="C694" s="3"/>
      <c r="D694" s="3"/>
      <c r="H694" s="4"/>
    </row>
    <row r="695" spans="3:8" ht="13.2">
      <c r="C695" s="3"/>
      <c r="D695" s="3"/>
      <c r="H695" s="4"/>
    </row>
    <row r="696" spans="3:8" ht="13.2">
      <c r="C696" s="3"/>
      <c r="D696" s="3"/>
      <c r="H696" s="4"/>
    </row>
    <row r="697" spans="3:8" ht="13.2">
      <c r="C697" s="3"/>
      <c r="D697" s="3"/>
      <c r="H697" s="4"/>
    </row>
    <row r="698" spans="3:8" ht="13.2">
      <c r="C698" s="3"/>
      <c r="D698" s="3"/>
      <c r="H698" s="4"/>
    </row>
    <row r="699" spans="3:8" ht="13.2">
      <c r="C699" s="3"/>
      <c r="D699" s="3"/>
      <c r="H699" s="4"/>
    </row>
    <row r="700" spans="3:8" ht="13.2">
      <c r="C700" s="3"/>
      <c r="D700" s="3"/>
      <c r="H700" s="4"/>
    </row>
    <row r="701" spans="3:8" ht="13.2">
      <c r="C701" s="3"/>
      <c r="D701" s="3"/>
      <c r="H701" s="4"/>
    </row>
    <row r="702" spans="3:8" ht="13.2">
      <c r="C702" s="3"/>
      <c r="D702" s="3"/>
      <c r="H702" s="4"/>
    </row>
    <row r="703" spans="3:8" ht="13.2">
      <c r="C703" s="3"/>
      <c r="D703" s="3"/>
      <c r="H703" s="4"/>
    </row>
    <row r="704" spans="3:8" ht="13.2">
      <c r="C704" s="3"/>
      <c r="D704" s="3"/>
      <c r="H704" s="4"/>
    </row>
    <row r="705" spans="3:8" ht="13.2">
      <c r="C705" s="3"/>
      <c r="D705" s="3"/>
      <c r="H705" s="4"/>
    </row>
    <row r="706" spans="3:8" ht="13.2">
      <c r="C706" s="3"/>
      <c r="D706" s="3"/>
      <c r="H706" s="4"/>
    </row>
    <row r="707" spans="3:8" ht="13.2">
      <c r="C707" s="3"/>
      <c r="D707" s="3"/>
      <c r="H707" s="4"/>
    </row>
    <row r="708" spans="3:8" ht="13.2">
      <c r="C708" s="3"/>
      <c r="D708" s="3"/>
      <c r="H708" s="4"/>
    </row>
    <row r="709" spans="3:8" ht="13.2">
      <c r="C709" s="3"/>
      <c r="D709" s="3"/>
      <c r="H709" s="4"/>
    </row>
    <row r="710" spans="3:8" ht="13.2">
      <c r="C710" s="3"/>
      <c r="D710" s="3"/>
      <c r="H710" s="4"/>
    </row>
    <row r="711" spans="3:8" ht="13.2">
      <c r="C711" s="3"/>
      <c r="D711" s="3"/>
      <c r="H711" s="4"/>
    </row>
    <row r="712" spans="3:8" ht="13.2">
      <c r="C712" s="3"/>
      <c r="D712" s="3"/>
      <c r="H712" s="4"/>
    </row>
    <row r="713" spans="3:8" ht="13.2">
      <c r="C713" s="3"/>
      <c r="D713" s="3"/>
      <c r="H713" s="4"/>
    </row>
    <row r="714" spans="3:8" ht="13.2">
      <c r="C714" s="3"/>
      <c r="D714" s="3"/>
      <c r="H714" s="4"/>
    </row>
    <row r="715" spans="3:8" ht="13.2">
      <c r="C715" s="3"/>
      <c r="D715" s="3"/>
      <c r="H715" s="4"/>
    </row>
    <row r="716" spans="3:8" ht="13.2">
      <c r="C716" s="3"/>
      <c r="D716" s="3"/>
      <c r="H716" s="4"/>
    </row>
    <row r="717" spans="3:8" ht="13.2">
      <c r="C717" s="3"/>
      <c r="D717" s="3"/>
      <c r="H717" s="4"/>
    </row>
    <row r="718" spans="3:8" ht="13.2">
      <c r="C718" s="3"/>
      <c r="D718" s="3"/>
      <c r="H718" s="4"/>
    </row>
    <row r="719" spans="3:8" ht="13.2">
      <c r="C719" s="3"/>
      <c r="D719" s="3"/>
      <c r="H719" s="4"/>
    </row>
    <row r="720" spans="3:8" ht="13.2">
      <c r="C720" s="3"/>
      <c r="D720" s="3"/>
      <c r="H720" s="4"/>
    </row>
    <row r="721" spans="3:8" ht="13.2">
      <c r="C721" s="3"/>
      <c r="D721" s="3"/>
      <c r="H721" s="4"/>
    </row>
    <row r="722" spans="3:8" ht="13.2">
      <c r="C722" s="3"/>
      <c r="D722" s="3"/>
      <c r="H722" s="4"/>
    </row>
    <row r="723" spans="3:8" ht="13.2">
      <c r="C723" s="3"/>
      <c r="D723" s="3"/>
      <c r="H723" s="4"/>
    </row>
    <row r="724" spans="3:8" ht="13.2">
      <c r="C724" s="3"/>
      <c r="D724" s="3"/>
      <c r="H724" s="4"/>
    </row>
    <row r="725" spans="3:8" ht="13.2">
      <c r="C725" s="3"/>
      <c r="D725" s="3"/>
      <c r="H725" s="4"/>
    </row>
    <row r="726" spans="3:8" ht="13.2">
      <c r="C726" s="3"/>
      <c r="D726" s="3"/>
      <c r="H726" s="4"/>
    </row>
    <row r="727" spans="3:8" ht="13.2">
      <c r="C727" s="3"/>
      <c r="D727" s="3"/>
      <c r="H727" s="4"/>
    </row>
    <row r="728" spans="3:8" ht="13.2">
      <c r="C728" s="3"/>
      <c r="D728" s="3"/>
      <c r="H728" s="4"/>
    </row>
    <row r="729" spans="3:8" ht="13.2">
      <c r="C729" s="3"/>
      <c r="D729" s="3"/>
      <c r="H729" s="4"/>
    </row>
    <row r="730" spans="3:8" ht="13.2">
      <c r="C730" s="3"/>
      <c r="D730" s="3"/>
      <c r="H730" s="4"/>
    </row>
    <row r="731" spans="3:8" ht="13.2">
      <c r="C731" s="3"/>
      <c r="D731" s="3"/>
      <c r="H731" s="4"/>
    </row>
    <row r="732" spans="3:8" ht="13.2">
      <c r="C732" s="3"/>
      <c r="D732" s="3"/>
      <c r="H732" s="4"/>
    </row>
    <row r="733" spans="3:8" ht="13.2">
      <c r="C733" s="3"/>
      <c r="D733" s="3"/>
      <c r="H733" s="4"/>
    </row>
    <row r="734" spans="3:8" ht="13.2">
      <c r="C734" s="3"/>
      <c r="D734" s="3"/>
      <c r="H734" s="4"/>
    </row>
    <row r="735" spans="3:8" ht="13.2">
      <c r="C735" s="3"/>
      <c r="D735" s="3"/>
      <c r="H735" s="4"/>
    </row>
    <row r="736" spans="3:8" ht="13.2">
      <c r="C736" s="3"/>
      <c r="D736" s="3"/>
      <c r="H736" s="4"/>
    </row>
    <row r="737" spans="3:8" ht="13.2">
      <c r="C737" s="3"/>
      <c r="D737" s="3"/>
      <c r="H737" s="4"/>
    </row>
    <row r="738" spans="3:8" ht="13.2">
      <c r="C738" s="3"/>
      <c r="D738" s="3"/>
      <c r="H738" s="4"/>
    </row>
    <row r="739" spans="3:8" ht="13.2">
      <c r="C739" s="3"/>
      <c r="D739" s="3"/>
      <c r="H739" s="4"/>
    </row>
    <row r="740" spans="3:8" ht="13.2">
      <c r="C740" s="3"/>
      <c r="D740" s="3"/>
      <c r="H740" s="4"/>
    </row>
    <row r="741" spans="3:8" ht="13.2">
      <c r="C741" s="3"/>
      <c r="D741" s="3"/>
      <c r="H741" s="4"/>
    </row>
    <row r="742" spans="3:8" ht="13.2">
      <c r="C742" s="3"/>
      <c r="D742" s="3"/>
      <c r="H742" s="4"/>
    </row>
    <row r="743" spans="3:8" ht="13.2">
      <c r="C743" s="3"/>
      <c r="D743" s="3"/>
      <c r="H743" s="4"/>
    </row>
    <row r="744" spans="3:8" ht="13.2">
      <c r="C744" s="3"/>
      <c r="D744" s="3"/>
      <c r="H744" s="4"/>
    </row>
    <row r="745" spans="3:8" ht="13.2">
      <c r="C745" s="3"/>
      <c r="D745" s="3"/>
      <c r="H745" s="4"/>
    </row>
    <row r="746" spans="3:8" ht="13.2">
      <c r="C746" s="3"/>
      <c r="D746" s="3"/>
      <c r="H746" s="4"/>
    </row>
    <row r="747" spans="3:8" ht="13.2">
      <c r="C747" s="3"/>
      <c r="D747" s="3"/>
      <c r="H747" s="4"/>
    </row>
    <row r="748" spans="3:8" ht="13.2">
      <c r="C748" s="3"/>
      <c r="D748" s="3"/>
      <c r="H748" s="4"/>
    </row>
    <row r="749" spans="3:8" ht="13.2">
      <c r="C749" s="3"/>
      <c r="D749" s="3"/>
      <c r="H749" s="4"/>
    </row>
    <row r="750" spans="3:8" ht="13.2">
      <c r="C750" s="3"/>
      <c r="D750" s="3"/>
      <c r="H750" s="4"/>
    </row>
    <row r="751" spans="3:8" ht="13.2">
      <c r="C751" s="3"/>
      <c r="D751" s="3"/>
      <c r="H751" s="4"/>
    </row>
    <row r="752" spans="3:8" ht="13.2">
      <c r="C752" s="3"/>
      <c r="D752" s="3"/>
      <c r="H752" s="4"/>
    </row>
    <row r="753" spans="3:8" ht="13.2">
      <c r="C753" s="3"/>
      <c r="D753" s="3"/>
      <c r="H753" s="4"/>
    </row>
    <row r="754" spans="3:8" ht="13.2">
      <c r="C754" s="3"/>
      <c r="D754" s="3"/>
      <c r="H754" s="4"/>
    </row>
    <row r="755" spans="3:8" ht="13.2">
      <c r="C755" s="3"/>
      <c r="D755" s="3"/>
      <c r="H755" s="4"/>
    </row>
    <row r="756" spans="3:8" ht="13.2">
      <c r="C756" s="3"/>
      <c r="D756" s="3"/>
      <c r="H756" s="4"/>
    </row>
    <row r="757" spans="3:8" ht="13.2">
      <c r="C757" s="3"/>
      <c r="D757" s="3"/>
      <c r="H757" s="4"/>
    </row>
    <row r="758" spans="3:8" ht="13.2">
      <c r="C758" s="3"/>
      <c r="D758" s="3"/>
      <c r="H758" s="4"/>
    </row>
    <row r="759" spans="3:8" ht="13.2">
      <c r="C759" s="3"/>
      <c r="D759" s="3"/>
      <c r="H759" s="4"/>
    </row>
    <row r="760" spans="3:8" ht="13.2">
      <c r="C760" s="3"/>
      <c r="D760" s="3"/>
      <c r="H760" s="4"/>
    </row>
    <row r="761" spans="3:8" ht="13.2">
      <c r="C761" s="3"/>
      <c r="D761" s="3"/>
      <c r="H761" s="4"/>
    </row>
    <row r="762" spans="3:8" ht="13.2">
      <c r="C762" s="3"/>
      <c r="D762" s="3"/>
      <c r="H762" s="4"/>
    </row>
    <row r="763" spans="3:8" ht="13.2">
      <c r="C763" s="3"/>
      <c r="D763" s="3"/>
      <c r="H763" s="4"/>
    </row>
    <row r="764" spans="3:8" ht="13.2">
      <c r="C764" s="3"/>
      <c r="D764" s="3"/>
      <c r="H764" s="4"/>
    </row>
    <row r="765" spans="3:8" ht="13.2">
      <c r="C765" s="3"/>
      <c r="D765" s="3"/>
      <c r="H765" s="4"/>
    </row>
    <row r="766" spans="3:8" ht="13.2">
      <c r="C766" s="3"/>
      <c r="D766" s="3"/>
      <c r="H766" s="4"/>
    </row>
    <row r="767" spans="3:8" ht="13.2">
      <c r="C767" s="3"/>
      <c r="D767" s="3"/>
      <c r="H767" s="4"/>
    </row>
    <row r="768" spans="3:8" ht="13.2">
      <c r="C768" s="3"/>
      <c r="D768" s="3"/>
      <c r="H768" s="4"/>
    </row>
    <row r="769" spans="3:8" ht="13.2">
      <c r="C769" s="3"/>
      <c r="D769" s="3"/>
      <c r="H769" s="4"/>
    </row>
    <row r="770" spans="3:8" ht="13.2">
      <c r="C770" s="3"/>
      <c r="D770" s="3"/>
      <c r="H770" s="4"/>
    </row>
    <row r="771" spans="3:8" ht="13.2">
      <c r="C771" s="3"/>
      <c r="D771" s="3"/>
      <c r="H771" s="4"/>
    </row>
    <row r="772" spans="3:8" ht="13.2">
      <c r="C772" s="3"/>
      <c r="D772" s="3"/>
      <c r="H772" s="4"/>
    </row>
    <row r="773" spans="3:8" ht="13.2">
      <c r="C773" s="3"/>
      <c r="D773" s="3"/>
      <c r="H773" s="4"/>
    </row>
    <row r="774" spans="3:8" ht="13.2">
      <c r="C774" s="3"/>
      <c r="D774" s="3"/>
      <c r="H774" s="4"/>
    </row>
    <row r="775" spans="3:8" ht="13.2">
      <c r="C775" s="3"/>
      <c r="D775" s="3"/>
      <c r="H775" s="4"/>
    </row>
    <row r="776" spans="3:8" ht="13.2">
      <c r="C776" s="3"/>
      <c r="D776" s="3"/>
      <c r="H776" s="4"/>
    </row>
    <row r="777" spans="3:8" ht="13.2">
      <c r="C777" s="3"/>
      <c r="D777" s="3"/>
      <c r="H777" s="4"/>
    </row>
    <row r="778" spans="3:8" ht="13.2">
      <c r="C778" s="3"/>
      <c r="D778" s="3"/>
      <c r="H778" s="4"/>
    </row>
    <row r="779" spans="3:8" ht="13.2">
      <c r="C779" s="3"/>
      <c r="D779" s="3"/>
      <c r="H779" s="4"/>
    </row>
    <row r="780" spans="3:8" ht="13.2">
      <c r="C780" s="3"/>
      <c r="D780" s="3"/>
      <c r="H780" s="4"/>
    </row>
    <row r="781" spans="3:8" ht="13.2">
      <c r="C781" s="3"/>
      <c r="D781" s="3"/>
      <c r="H781" s="4"/>
    </row>
    <row r="782" spans="3:8" ht="13.2">
      <c r="C782" s="3"/>
      <c r="D782" s="3"/>
      <c r="H782" s="4"/>
    </row>
    <row r="783" spans="3:8" ht="13.2">
      <c r="C783" s="3"/>
      <c r="D783" s="3"/>
      <c r="H783" s="4"/>
    </row>
    <row r="784" spans="3:8" ht="13.2">
      <c r="C784" s="3"/>
      <c r="D784" s="3"/>
      <c r="H784" s="4"/>
    </row>
    <row r="785" spans="3:8" ht="13.2">
      <c r="C785" s="3"/>
      <c r="D785" s="3"/>
      <c r="H785" s="4"/>
    </row>
    <row r="786" spans="3:8" ht="13.2">
      <c r="C786" s="3"/>
      <c r="D786" s="3"/>
      <c r="H786" s="4"/>
    </row>
    <row r="787" spans="3:8" ht="13.2">
      <c r="C787" s="3"/>
      <c r="D787" s="3"/>
      <c r="H787" s="4"/>
    </row>
    <row r="788" spans="3:8" ht="13.2">
      <c r="C788" s="3"/>
      <c r="D788" s="3"/>
      <c r="H788" s="4"/>
    </row>
    <row r="789" spans="3:8" ht="13.2">
      <c r="C789" s="3"/>
      <c r="D789" s="3"/>
      <c r="H789" s="4"/>
    </row>
    <row r="790" spans="3:8" ht="13.2">
      <c r="C790" s="3"/>
      <c r="D790" s="3"/>
      <c r="H790" s="4"/>
    </row>
    <row r="791" spans="3:8" ht="13.2">
      <c r="C791" s="3"/>
      <c r="D791" s="3"/>
      <c r="H791" s="4"/>
    </row>
    <row r="792" spans="3:8" ht="13.2">
      <c r="C792" s="3"/>
      <c r="D792" s="3"/>
      <c r="H792" s="4"/>
    </row>
    <row r="793" spans="3:8" ht="13.2">
      <c r="C793" s="3"/>
      <c r="D793" s="3"/>
      <c r="H793" s="4"/>
    </row>
    <row r="794" spans="3:8" ht="13.2">
      <c r="C794" s="3"/>
      <c r="D794" s="3"/>
      <c r="H794" s="4"/>
    </row>
    <row r="795" spans="3:8" ht="13.2">
      <c r="C795" s="3"/>
      <c r="D795" s="3"/>
      <c r="H795" s="4"/>
    </row>
    <row r="796" spans="3:8" ht="13.2">
      <c r="C796" s="3"/>
      <c r="D796" s="3"/>
      <c r="H796" s="4"/>
    </row>
    <row r="797" spans="3:8" ht="13.2">
      <c r="C797" s="3"/>
      <c r="D797" s="3"/>
      <c r="H797" s="4"/>
    </row>
    <row r="798" spans="3:8" ht="13.2">
      <c r="C798" s="3"/>
      <c r="D798" s="3"/>
      <c r="H798" s="4"/>
    </row>
    <row r="799" spans="3:8" ht="13.2">
      <c r="C799" s="3"/>
      <c r="D799" s="3"/>
      <c r="H799" s="4"/>
    </row>
    <row r="800" spans="3:8" ht="13.2">
      <c r="C800" s="3"/>
      <c r="D800" s="3"/>
      <c r="H800" s="4"/>
    </row>
    <row r="801" spans="3:8" ht="13.2">
      <c r="C801" s="3"/>
      <c r="D801" s="3"/>
      <c r="H801" s="4"/>
    </row>
    <row r="802" spans="3:8" ht="13.2">
      <c r="C802" s="3"/>
      <c r="D802" s="3"/>
      <c r="H802" s="4"/>
    </row>
    <row r="803" spans="3:8" ht="13.2">
      <c r="C803" s="3"/>
      <c r="D803" s="3"/>
      <c r="H803" s="4"/>
    </row>
    <row r="804" spans="3:8" ht="13.2">
      <c r="C804" s="3"/>
      <c r="D804" s="3"/>
      <c r="H804" s="4"/>
    </row>
    <row r="805" spans="3:8" ht="13.2">
      <c r="C805" s="3"/>
      <c r="D805" s="3"/>
      <c r="H805" s="4"/>
    </row>
    <row r="806" spans="3:8" ht="13.2">
      <c r="C806" s="3"/>
      <c r="D806" s="3"/>
      <c r="H806" s="4"/>
    </row>
    <row r="807" spans="3:8" ht="13.2">
      <c r="C807" s="3"/>
      <c r="D807" s="3"/>
      <c r="H807" s="4"/>
    </row>
    <row r="808" spans="3:8" ht="13.2">
      <c r="C808" s="3"/>
      <c r="D808" s="3"/>
      <c r="H808" s="4"/>
    </row>
    <row r="809" spans="3:8" ht="13.2">
      <c r="C809" s="3"/>
      <c r="D809" s="3"/>
      <c r="H809" s="4"/>
    </row>
    <row r="810" spans="3:8" ht="13.2">
      <c r="C810" s="3"/>
      <c r="D810" s="3"/>
      <c r="H810" s="4"/>
    </row>
    <row r="811" spans="3:8" ht="13.2">
      <c r="C811" s="3"/>
      <c r="D811" s="3"/>
      <c r="H811" s="4"/>
    </row>
    <row r="812" spans="3:8" ht="13.2">
      <c r="C812" s="3"/>
      <c r="D812" s="3"/>
      <c r="H812" s="4"/>
    </row>
    <row r="813" spans="3:8" ht="13.2">
      <c r="C813" s="3"/>
      <c r="D813" s="3"/>
      <c r="H813" s="4"/>
    </row>
    <row r="814" spans="3:8" ht="13.2">
      <c r="C814" s="3"/>
      <c r="D814" s="3"/>
      <c r="H814" s="4"/>
    </row>
    <row r="815" spans="3:8" ht="13.2">
      <c r="C815" s="3"/>
      <c r="D815" s="3"/>
      <c r="H815" s="4"/>
    </row>
    <row r="816" spans="3:8" ht="13.2">
      <c r="C816" s="3"/>
      <c r="D816" s="3"/>
      <c r="H816" s="4"/>
    </row>
    <row r="817" spans="3:8" ht="13.2">
      <c r="C817" s="3"/>
      <c r="D817" s="3"/>
      <c r="H817" s="4"/>
    </row>
    <row r="818" spans="3:8" ht="13.2">
      <c r="C818" s="3"/>
      <c r="D818" s="3"/>
      <c r="H818" s="4"/>
    </row>
    <row r="819" spans="3:8" ht="13.2">
      <c r="C819" s="3"/>
      <c r="D819" s="3"/>
      <c r="H819" s="4"/>
    </row>
    <row r="820" spans="3:8" ht="13.2">
      <c r="C820" s="3"/>
      <c r="D820" s="3"/>
      <c r="H820" s="4"/>
    </row>
    <row r="821" spans="3:8" ht="13.2">
      <c r="C821" s="3"/>
      <c r="D821" s="3"/>
      <c r="H821" s="4"/>
    </row>
    <row r="822" spans="3:8" ht="13.2">
      <c r="C822" s="3"/>
      <c r="D822" s="3"/>
      <c r="H822" s="4"/>
    </row>
    <row r="823" spans="3:8" ht="13.2">
      <c r="C823" s="3"/>
      <c r="D823" s="3"/>
      <c r="H823" s="4"/>
    </row>
    <row r="824" spans="3:8" ht="13.2">
      <c r="C824" s="3"/>
      <c r="D824" s="3"/>
      <c r="H824" s="4"/>
    </row>
    <row r="825" spans="3:8" ht="13.2">
      <c r="C825" s="3"/>
      <c r="D825" s="3"/>
      <c r="H825" s="4"/>
    </row>
    <row r="826" spans="3:8" ht="13.2">
      <c r="C826" s="3"/>
      <c r="D826" s="3"/>
      <c r="H826" s="4"/>
    </row>
    <row r="827" spans="3:8" ht="13.2">
      <c r="C827" s="3"/>
      <c r="D827" s="3"/>
      <c r="H827" s="4"/>
    </row>
    <row r="828" spans="3:8" ht="13.2">
      <c r="C828" s="3"/>
      <c r="D828" s="3"/>
      <c r="H828" s="4"/>
    </row>
    <row r="829" spans="3:8" ht="13.2">
      <c r="C829" s="3"/>
      <c r="D829" s="3"/>
      <c r="H829" s="4"/>
    </row>
    <row r="830" spans="3:8" ht="13.2">
      <c r="C830" s="3"/>
      <c r="D830" s="3"/>
      <c r="H830" s="4"/>
    </row>
    <row r="831" spans="3:8" ht="13.2">
      <c r="C831" s="3"/>
      <c r="D831" s="3"/>
      <c r="H831" s="4"/>
    </row>
    <row r="832" spans="3:8" ht="13.2">
      <c r="C832" s="3"/>
      <c r="D832" s="3"/>
      <c r="H832" s="4"/>
    </row>
    <row r="833" spans="3:8" ht="13.2">
      <c r="C833" s="3"/>
      <c r="D833" s="3"/>
      <c r="H833" s="4"/>
    </row>
    <row r="834" spans="3:8" ht="13.2">
      <c r="C834" s="3"/>
      <c r="D834" s="3"/>
      <c r="H834" s="4"/>
    </row>
    <row r="835" spans="3:8" ht="13.2">
      <c r="C835" s="3"/>
      <c r="D835" s="3"/>
      <c r="H835" s="4"/>
    </row>
    <row r="836" spans="3:8" ht="13.2">
      <c r="C836" s="3"/>
      <c r="D836" s="3"/>
      <c r="H836" s="4"/>
    </row>
    <row r="837" spans="3:8" ht="13.2">
      <c r="C837" s="3"/>
      <c r="D837" s="3"/>
      <c r="H837" s="4"/>
    </row>
    <row r="838" spans="3:8" ht="13.2">
      <c r="C838" s="3"/>
      <c r="D838" s="3"/>
      <c r="H838" s="4"/>
    </row>
    <row r="839" spans="3:8" ht="13.2">
      <c r="C839" s="3"/>
      <c r="D839" s="3"/>
      <c r="H839" s="4"/>
    </row>
    <row r="840" spans="3:8" ht="13.2">
      <c r="C840" s="3"/>
      <c r="D840" s="3"/>
      <c r="H840" s="4"/>
    </row>
    <row r="841" spans="3:8" ht="13.2">
      <c r="C841" s="3"/>
      <c r="D841" s="3"/>
      <c r="H841" s="4"/>
    </row>
    <row r="842" spans="3:8" ht="13.2">
      <c r="C842" s="3"/>
      <c r="D842" s="3"/>
      <c r="H842" s="4"/>
    </row>
    <row r="843" spans="3:8" ht="13.2">
      <c r="C843" s="3"/>
      <c r="D843" s="3"/>
      <c r="H843" s="4"/>
    </row>
    <row r="844" spans="3:8" ht="13.2">
      <c r="C844" s="3"/>
      <c r="D844" s="3"/>
      <c r="H844" s="4"/>
    </row>
    <row r="845" spans="3:8" ht="13.2">
      <c r="C845" s="3"/>
      <c r="D845" s="3"/>
      <c r="H845" s="4"/>
    </row>
    <row r="846" spans="3:8" ht="13.2">
      <c r="C846" s="3"/>
      <c r="D846" s="3"/>
      <c r="H846" s="4"/>
    </row>
    <row r="847" spans="3:8" ht="13.2">
      <c r="C847" s="3"/>
      <c r="D847" s="3"/>
      <c r="H847" s="4"/>
    </row>
    <row r="848" spans="3:8" ht="13.2">
      <c r="C848" s="3"/>
      <c r="D848" s="3"/>
      <c r="H848" s="4"/>
    </row>
    <row r="849" spans="3:8" ht="13.2">
      <c r="C849" s="3"/>
      <c r="D849" s="3"/>
      <c r="H849" s="4"/>
    </row>
    <row r="850" spans="3:8" ht="13.2">
      <c r="C850" s="3"/>
      <c r="D850" s="3"/>
      <c r="H850" s="4"/>
    </row>
    <row r="851" spans="3:8" ht="13.2">
      <c r="C851" s="3"/>
      <c r="D851" s="3"/>
      <c r="H851" s="4"/>
    </row>
    <row r="852" spans="3:8" ht="13.2">
      <c r="C852" s="3"/>
      <c r="D852" s="3"/>
      <c r="H852" s="4"/>
    </row>
    <row r="853" spans="3:8" ht="13.2">
      <c r="C853" s="3"/>
      <c r="D853" s="3"/>
      <c r="H853" s="4"/>
    </row>
    <row r="854" spans="3:8" ht="13.2">
      <c r="C854" s="3"/>
      <c r="D854" s="3"/>
      <c r="H854" s="4"/>
    </row>
    <row r="855" spans="3:8" ht="13.2">
      <c r="C855" s="3"/>
      <c r="D855" s="3"/>
      <c r="H855" s="4"/>
    </row>
    <row r="856" spans="3:8" ht="13.2">
      <c r="C856" s="3"/>
      <c r="D856" s="3"/>
      <c r="H856" s="4"/>
    </row>
    <row r="857" spans="3:8" ht="13.2">
      <c r="C857" s="3"/>
      <c r="D857" s="3"/>
      <c r="H857" s="4"/>
    </row>
    <row r="858" spans="3:8" ht="13.2">
      <c r="C858" s="3"/>
      <c r="D858" s="3"/>
      <c r="H858" s="4"/>
    </row>
    <row r="859" spans="3:8" ht="13.2">
      <c r="C859" s="3"/>
      <c r="D859" s="3"/>
      <c r="H859" s="4"/>
    </row>
    <row r="860" spans="3:8" ht="13.2">
      <c r="C860" s="3"/>
      <c r="D860" s="3"/>
      <c r="H860" s="4"/>
    </row>
    <row r="861" spans="3:8" ht="13.2">
      <c r="C861" s="3"/>
      <c r="D861" s="3"/>
      <c r="H861" s="4"/>
    </row>
    <row r="862" spans="3:8" ht="13.2">
      <c r="C862" s="3"/>
      <c r="D862" s="3"/>
      <c r="H862" s="4"/>
    </row>
    <row r="863" spans="3:8" ht="13.2">
      <c r="C863" s="3"/>
      <c r="D863" s="3"/>
      <c r="H863" s="4"/>
    </row>
    <row r="864" spans="3:8" ht="13.2">
      <c r="C864" s="3"/>
      <c r="D864" s="3"/>
      <c r="H864" s="4"/>
    </row>
    <row r="865" spans="3:8" ht="13.2">
      <c r="C865" s="3"/>
      <c r="D865" s="3"/>
      <c r="H865" s="4"/>
    </row>
    <row r="866" spans="3:8" ht="13.2">
      <c r="C866" s="3"/>
      <c r="D866" s="3"/>
      <c r="H866" s="4"/>
    </row>
    <row r="867" spans="3:8" ht="13.2">
      <c r="C867" s="3"/>
      <c r="D867" s="3"/>
      <c r="H867" s="4"/>
    </row>
    <row r="868" spans="3:8" ht="13.2">
      <c r="C868" s="3"/>
      <c r="D868" s="3"/>
      <c r="H868" s="4"/>
    </row>
    <row r="869" spans="3:8" ht="13.2">
      <c r="C869" s="3"/>
      <c r="D869" s="3"/>
      <c r="H869" s="4"/>
    </row>
    <row r="870" spans="3:8" ht="13.2">
      <c r="C870" s="3"/>
      <c r="D870" s="3"/>
      <c r="H870" s="4"/>
    </row>
    <row r="871" spans="3:8" ht="13.2">
      <c r="C871" s="3"/>
      <c r="D871" s="3"/>
      <c r="H871" s="4"/>
    </row>
    <row r="872" spans="3:8" ht="13.2">
      <c r="C872" s="3"/>
      <c r="D872" s="3"/>
      <c r="H872" s="4"/>
    </row>
    <row r="873" spans="3:8" ht="13.2">
      <c r="C873" s="3"/>
      <c r="D873" s="3"/>
      <c r="H873" s="4"/>
    </row>
    <row r="874" spans="3:8" ht="13.2">
      <c r="C874" s="3"/>
      <c r="D874" s="3"/>
      <c r="H874" s="4"/>
    </row>
    <row r="875" spans="3:8" ht="13.2">
      <c r="C875" s="3"/>
      <c r="D875" s="3"/>
      <c r="H875" s="4"/>
    </row>
    <row r="876" spans="3:8" ht="13.2">
      <c r="C876" s="3"/>
      <c r="D876" s="3"/>
      <c r="H876" s="4"/>
    </row>
    <row r="877" spans="3:8" ht="13.2">
      <c r="C877" s="3"/>
      <c r="D877" s="3"/>
      <c r="H877" s="4"/>
    </row>
    <row r="878" spans="3:8" ht="13.2">
      <c r="C878" s="3"/>
      <c r="D878" s="3"/>
      <c r="H878" s="4"/>
    </row>
    <row r="879" spans="3:8" ht="13.2">
      <c r="C879" s="3"/>
      <c r="D879" s="3"/>
      <c r="H879" s="4"/>
    </row>
    <row r="880" spans="3:8" ht="13.2">
      <c r="C880" s="3"/>
      <c r="D880" s="3"/>
      <c r="H880" s="4"/>
    </row>
    <row r="881" spans="3:8" ht="13.2">
      <c r="C881" s="3"/>
      <c r="D881" s="3"/>
      <c r="H881" s="4"/>
    </row>
    <row r="882" spans="3:8" ht="13.2">
      <c r="C882" s="3"/>
      <c r="D882" s="3"/>
      <c r="H882" s="4"/>
    </row>
    <row r="883" spans="3:8" ht="13.2">
      <c r="C883" s="3"/>
      <c r="D883" s="3"/>
      <c r="H883" s="4"/>
    </row>
    <row r="884" spans="3:8" ht="13.2">
      <c r="C884" s="3"/>
      <c r="D884" s="3"/>
      <c r="H884" s="4"/>
    </row>
    <row r="885" spans="3:8" ht="13.2">
      <c r="C885" s="3"/>
      <c r="D885" s="3"/>
      <c r="H885" s="4"/>
    </row>
    <row r="886" spans="3:8" ht="13.2">
      <c r="C886" s="3"/>
      <c r="D886" s="3"/>
      <c r="H886" s="4"/>
    </row>
    <row r="887" spans="3:8" ht="13.2">
      <c r="C887" s="3"/>
      <c r="D887" s="3"/>
      <c r="H887" s="4"/>
    </row>
    <row r="888" spans="3:8" ht="13.2">
      <c r="C888" s="3"/>
      <c r="D888" s="3"/>
      <c r="H888" s="4"/>
    </row>
    <row r="889" spans="3:8" ht="13.2">
      <c r="C889" s="3"/>
      <c r="D889" s="3"/>
      <c r="H889" s="4"/>
    </row>
    <row r="890" spans="3:8" ht="13.2">
      <c r="C890" s="3"/>
      <c r="D890" s="3"/>
      <c r="H890" s="4"/>
    </row>
    <row r="891" spans="3:8" ht="13.2">
      <c r="C891" s="3"/>
      <c r="D891" s="3"/>
      <c r="H891" s="4"/>
    </row>
    <row r="892" spans="3:8" ht="13.2">
      <c r="C892" s="3"/>
      <c r="D892" s="3"/>
      <c r="H892" s="4"/>
    </row>
    <row r="893" spans="3:8" ht="13.2">
      <c r="C893" s="3"/>
      <c r="D893" s="3"/>
      <c r="H893" s="4"/>
    </row>
    <row r="894" spans="3:8" ht="13.2">
      <c r="C894" s="3"/>
      <c r="D894" s="3"/>
      <c r="H894" s="4"/>
    </row>
    <row r="895" spans="3:8" ht="13.2">
      <c r="C895" s="3"/>
      <c r="D895" s="3"/>
      <c r="H895" s="4"/>
    </row>
    <row r="896" spans="3:8" ht="13.2">
      <c r="C896" s="3"/>
      <c r="D896" s="3"/>
      <c r="H896" s="4"/>
    </row>
    <row r="897" spans="3:8" ht="13.2">
      <c r="C897" s="3"/>
      <c r="D897" s="3"/>
      <c r="H897" s="4"/>
    </row>
    <row r="898" spans="3:8" ht="13.2">
      <c r="C898" s="3"/>
      <c r="D898" s="3"/>
      <c r="H898" s="4"/>
    </row>
    <row r="899" spans="3:8" ht="13.2">
      <c r="C899" s="3"/>
      <c r="D899" s="3"/>
      <c r="H899" s="4"/>
    </row>
    <row r="900" spans="3:8" ht="13.2">
      <c r="C900" s="3"/>
      <c r="D900" s="3"/>
      <c r="H900" s="4"/>
    </row>
    <row r="901" spans="3:8" ht="13.2">
      <c r="C901" s="3"/>
      <c r="D901" s="3"/>
      <c r="H901" s="4"/>
    </row>
    <row r="902" spans="3:8" ht="13.2">
      <c r="C902" s="3"/>
      <c r="D902" s="3"/>
      <c r="H902" s="4"/>
    </row>
    <row r="903" spans="3:8" ht="13.2">
      <c r="C903" s="3"/>
      <c r="D903" s="3"/>
      <c r="H903" s="4"/>
    </row>
    <row r="904" spans="3:8" ht="13.2">
      <c r="C904" s="3"/>
      <c r="D904" s="3"/>
      <c r="H904" s="4"/>
    </row>
    <row r="905" spans="3:8" ht="13.2">
      <c r="C905" s="3"/>
      <c r="D905" s="3"/>
      <c r="H905" s="4"/>
    </row>
    <row r="906" spans="3:8" ht="13.2">
      <c r="C906" s="3"/>
      <c r="D906" s="3"/>
      <c r="H906" s="4"/>
    </row>
    <row r="907" spans="3:8" ht="13.2">
      <c r="C907" s="3"/>
      <c r="D907" s="3"/>
      <c r="H907" s="4"/>
    </row>
    <row r="908" spans="3:8" ht="13.2">
      <c r="C908" s="3"/>
      <c r="D908" s="3"/>
      <c r="H908" s="4"/>
    </row>
    <row r="909" spans="3:8" ht="13.2">
      <c r="C909" s="3"/>
      <c r="D909" s="3"/>
      <c r="H909" s="4"/>
    </row>
    <row r="910" spans="3:8" ht="13.2">
      <c r="C910" s="3"/>
      <c r="D910" s="3"/>
      <c r="H910" s="4"/>
    </row>
    <row r="911" spans="3:8" ht="13.2">
      <c r="C911" s="3"/>
      <c r="D911" s="3"/>
      <c r="H911" s="4"/>
    </row>
    <row r="912" spans="3:8" ht="13.2">
      <c r="C912" s="3"/>
      <c r="D912" s="3"/>
      <c r="H912" s="4"/>
    </row>
    <row r="913" spans="3:8" ht="13.2">
      <c r="C913" s="3"/>
      <c r="D913" s="3"/>
      <c r="H913" s="4"/>
    </row>
    <row r="914" spans="3:8" ht="13.2">
      <c r="C914" s="3"/>
      <c r="D914" s="3"/>
      <c r="H914" s="4"/>
    </row>
    <row r="915" spans="3:8" ht="13.2">
      <c r="C915" s="3"/>
      <c r="D915" s="3"/>
      <c r="H915" s="4"/>
    </row>
    <row r="916" spans="3:8" ht="13.2">
      <c r="C916" s="3"/>
      <c r="D916" s="3"/>
      <c r="H916" s="4"/>
    </row>
    <row r="917" spans="3:8" ht="13.2">
      <c r="C917" s="3"/>
      <c r="D917" s="3"/>
      <c r="H917" s="4"/>
    </row>
    <row r="918" spans="3:8" ht="13.2">
      <c r="C918" s="3"/>
      <c r="D918" s="3"/>
      <c r="H918" s="4"/>
    </row>
    <row r="919" spans="3:8" ht="13.2">
      <c r="C919" s="3"/>
      <c r="D919" s="3"/>
      <c r="H919" s="4"/>
    </row>
    <row r="920" spans="3:8" ht="13.2">
      <c r="C920" s="3"/>
      <c r="D920" s="3"/>
      <c r="H920" s="4"/>
    </row>
    <row r="921" spans="3:8" ht="13.2">
      <c r="C921" s="3"/>
      <c r="D921" s="3"/>
      <c r="H921" s="4"/>
    </row>
    <row r="922" spans="3:8" ht="13.2">
      <c r="C922" s="3"/>
      <c r="D922" s="3"/>
      <c r="H922" s="4"/>
    </row>
    <row r="923" spans="3:8" ht="13.2">
      <c r="C923" s="3"/>
      <c r="D923" s="3"/>
      <c r="H923" s="4"/>
    </row>
    <row r="924" spans="3:8" ht="13.2">
      <c r="C924" s="3"/>
      <c r="D924" s="3"/>
      <c r="H924" s="4"/>
    </row>
    <row r="925" spans="3:8" ht="13.2">
      <c r="C925" s="3"/>
      <c r="D925" s="3"/>
      <c r="H925" s="4"/>
    </row>
    <row r="926" spans="3:8" ht="13.2">
      <c r="C926" s="3"/>
      <c r="D926" s="3"/>
      <c r="H926" s="4"/>
    </row>
    <row r="927" spans="3:8" ht="13.2">
      <c r="C927" s="3"/>
      <c r="D927" s="3"/>
      <c r="H927" s="4"/>
    </row>
    <row r="928" spans="3:8" ht="13.2">
      <c r="C928" s="3"/>
      <c r="D928" s="3"/>
      <c r="H928" s="4"/>
    </row>
    <row r="929" spans="3:8" ht="13.2">
      <c r="C929" s="3"/>
      <c r="D929" s="3"/>
      <c r="H929" s="4"/>
    </row>
    <row r="930" spans="3:8" ht="13.2">
      <c r="C930" s="3"/>
      <c r="D930" s="3"/>
      <c r="H930" s="4"/>
    </row>
    <row r="931" spans="3:8" ht="13.2">
      <c r="C931" s="3"/>
      <c r="D931" s="3"/>
      <c r="H931" s="4"/>
    </row>
    <row r="932" spans="3:8" ht="13.2">
      <c r="C932" s="3"/>
      <c r="D932" s="3"/>
      <c r="H932" s="4"/>
    </row>
    <row r="933" spans="3:8" ht="13.2">
      <c r="C933" s="3"/>
      <c r="D933" s="3"/>
      <c r="H933" s="4"/>
    </row>
    <row r="934" spans="3:8" ht="13.2">
      <c r="C934" s="3"/>
      <c r="D934" s="3"/>
      <c r="H934" s="4"/>
    </row>
    <row r="935" spans="3:8" ht="13.2">
      <c r="C935" s="3"/>
      <c r="D935" s="3"/>
      <c r="H935" s="4"/>
    </row>
    <row r="936" spans="3:8" ht="13.2">
      <c r="C936" s="3"/>
      <c r="D936" s="3"/>
      <c r="H936" s="4"/>
    </row>
    <row r="937" spans="3:8" ht="13.2">
      <c r="C937" s="3"/>
      <c r="D937" s="3"/>
      <c r="H937" s="4"/>
    </row>
    <row r="938" spans="3:8" ht="13.2">
      <c r="C938" s="3"/>
      <c r="D938" s="3"/>
      <c r="H938" s="4"/>
    </row>
    <row r="939" spans="3:8" ht="13.2">
      <c r="C939" s="3"/>
      <c r="D939" s="3"/>
      <c r="H939" s="4"/>
    </row>
    <row r="940" spans="3:8" ht="13.2">
      <c r="C940" s="3"/>
      <c r="D940" s="3"/>
      <c r="H940" s="4"/>
    </row>
    <row r="941" spans="3:8" ht="13.2">
      <c r="C941" s="3"/>
      <c r="D941" s="3"/>
      <c r="H941" s="4"/>
    </row>
    <row r="942" spans="3:8" ht="13.2">
      <c r="C942" s="3"/>
      <c r="D942" s="3"/>
      <c r="H942" s="4"/>
    </row>
    <row r="943" spans="3:8" ht="13.2">
      <c r="C943" s="3"/>
      <c r="D943" s="3"/>
      <c r="H943" s="4"/>
    </row>
    <row r="944" spans="3:8" ht="13.2">
      <c r="C944" s="3"/>
      <c r="D944" s="3"/>
      <c r="H944" s="4"/>
    </row>
    <row r="945" spans="3:8" ht="13.2">
      <c r="C945" s="3"/>
      <c r="D945" s="3"/>
      <c r="H945" s="4"/>
    </row>
    <row r="946" spans="3:8" ht="13.2">
      <c r="C946" s="3"/>
      <c r="D946" s="3"/>
      <c r="H946" s="4"/>
    </row>
    <row r="947" spans="3:8" ht="13.2">
      <c r="C947" s="3"/>
      <c r="D947" s="3"/>
      <c r="H947" s="4"/>
    </row>
    <row r="948" spans="3:8" ht="13.2">
      <c r="C948" s="3"/>
      <c r="D948" s="3"/>
      <c r="H948" s="4"/>
    </row>
    <row r="949" spans="3:8" ht="13.2">
      <c r="C949" s="3"/>
      <c r="D949" s="3"/>
      <c r="H949" s="4"/>
    </row>
    <row r="950" spans="3:8" ht="13.2">
      <c r="C950" s="3"/>
      <c r="D950" s="3"/>
      <c r="H950" s="4"/>
    </row>
    <row r="951" spans="3:8" ht="13.2">
      <c r="C951" s="3"/>
      <c r="D951" s="3"/>
      <c r="H951" s="4"/>
    </row>
    <row r="952" spans="3:8" ht="13.2">
      <c r="C952" s="3"/>
      <c r="D952" s="3"/>
      <c r="H952" s="4"/>
    </row>
    <row r="953" spans="3:8" ht="13.2">
      <c r="C953" s="3"/>
      <c r="D953" s="3"/>
      <c r="H953" s="4"/>
    </row>
    <row r="954" spans="3:8" ht="13.2">
      <c r="C954" s="3"/>
      <c r="D954" s="3"/>
      <c r="H954" s="4"/>
    </row>
    <row r="955" spans="3:8" ht="13.2">
      <c r="C955" s="3"/>
      <c r="D955" s="3"/>
      <c r="H955" s="4"/>
    </row>
    <row r="956" spans="3:8" ht="13.2">
      <c r="C956" s="3"/>
      <c r="D956" s="3"/>
      <c r="H956" s="4"/>
    </row>
    <row r="957" spans="3:8" ht="13.2">
      <c r="C957" s="3"/>
      <c r="D957" s="3"/>
      <c r="H957" s="4"/>
    </row>
    <row r="958" spans="3:8" ht="13.2">
      <c r="C958" s="3"/>
      <c r="D958" s="3"/>
      <c r="H958" s="4"/>
    </row>
    <row r="959" spans="3:8" ht="13.2">
      <c r="C959" s="3"/>
      <c r="D959" s="3"/>
      <c r="H959" s="4"/>
    </row>
    <row r="960" spans="3:8" ht="13.2">
      <c r="C960" s="3"/>
      <c r="D960" s="3"/>
      <c r="H960" s="4"/>
    </row>
    <row r="961" spans="3:8" ht="13.2">
      <c r="C961" s="3"/>
      <c r="D961" s="3"/>
      <c r="H961" s="4"/>
    </row>
    <row r="962" spans="3:8" ht="13.2">
      <c r="C962" s="3"/>
      <c r="D962" s="3"/>
      <c r="H962" s="4"/>
    </row>
    <row r="963" spans="3:8" ht="13.2">
      <c r="C963" s="3"/>
      <c r="D963" s="3"/>
      <c r="H963" s="4"/>
    </row>
    <row r="964" spans="3:8" ht="13.2">
      <c r="C964" s="3"/>
      <c r="D964" s="3"/>
      <c r="H964" s="4"/>
    </row>
    <row r="965" spans="3:8" ht="13.2">
      <c r="C965" s="3"/>
      <c r="D965" s="3"/>
      <c r="H965" s="4"/>
    </row>
    <row r="966" spans="3:8" ht="13.2">
      <c r="C966" s="3"/>
      <c r="D966" s="3"/>
      <c r="H966" s="4"/>
    </row>
    <row r="967" spans="3:8" ht="13.2">
      <c r="C967" s="3"/>
      <c r="D967" s="3"/>
      <c r="H967" s="4"/>
    </row>
    <row r="968" spans="3:8" ht="13.2">
      <c r="C968" s="3"/>
      <c r="D968" s="3"/>
      <c r="H968" s="4"/>
    </row>
    <row r="969" spans="3:8" ht="13.2">
      <c r="C969" s="3"/>
      <c r="D969" s="3"/>
      <c r="H969" s="4"/>
    </row>
    <row r="970" spans="3:8" ht="13.2">
      <c r="C970" s="3"/>
      <c r="D970" s="3"/>
      <c r="H970" s="4"/>
    </row>
    <row r="971" spans="3:8" ht="13.2">
      <c r="C971" s="3"/>
      <c r="D971" s="3"/>
      <c r="H971" s="4"/>
    </row>
    <row r="972" spans="3:8" ht="13.2">
      <c r="C972" s="3"/>
      <c r="D972" s="3"/>
      <c r="H972" s="4"/>
    </row>
    <row r="973" spans="3:8" ht="13.2">
      <c r="C973" s="3"/>
      <c r="D973" s="3"/>
      <c r="H973" s="4"/>
    </row>
    <row r="974" spans="3:8" ht="13.2">
      <c r="C974" s="3"/>
      <c r="D974" s="3"/>
      <c r="H974" s="4"/>
    </row>
    <row r="975" spans="3:8" ht="13.2">
      <c r="C975" s="3"/>
      <c r="D975" s="3"/>
      <c r="H975" s="4"/>
    </row>
    <row r="976" spans="3:8" ht="13.2">
      <c r="C976" s="3"/>
      <c r="D976" s="3"/>
      <c r="H976" s="4"/>
    </row>
    <row r="977" spans="3:8" ht="13.2">
      <c r="C977" s="3"/>
      <c r="D977" s="3"/>
      <c r="H977" s="4"/>
    </row>
    <row r="978" spans="3:8" ht="13.2">
      <c r="C978" s="3"/>
      <c r="D978" s="3"/>
      <c r="H978" s="4"/>
    </row>
    <row r="979" spans="3:8" ht="13.2">
      <c r="C979" s="3"/>
      <c r="D979" s="3"/>
      <c r="H979" s="4"/>
    </row>
    <row r="980" spans="3:8" ht="13.2">
      <c r="C980" s="3"/>
      <c r="D980" s="3"/>
      <c r="H980" s="4"/>
    </row>
    <row r="981" spans="3:8" ht="13.2">
      <c r="C981" s="3"/>
      <c r="D981" s="3"/>
      <c r="H981" s="4"/>
    </row>
    <row r="982" spans="3:8" ht="13.2">
      <c r="C982" s="3"/>
      <c r="D982" s="3"/>
      <c r="H982" s="4"/>
    </row>
    <row r="983" spans="3:8" ht="13.2">
      <c r="C983" s="3"/>
      <c r="D983" s="3"/>
      <c r="H983" s="4"/>
    </row>
    <row r="984" spans="3:8" ht="13.2">
      <c r="C984" s="3"/>
      <c r="D984" s="3"/>
      <c r="H984" s="4"/>
    </row>
    <row r="985" spans="3:8" ht="13.2">
      <c r="C985" s="3"/>
      <c r="D985" s="3"/>
      <c r="H985" s="4"/>
    </row>
    <row r="986" spans="3:8" ht="13.2">
      <c r="C986" s="3"/>
      <c r="D986" s="3"/>
      <c r="H986" s="4"/>
    </row>
    <row r="987" spans="3:8" ht="13.2">
      <c r="C987" s="3"/>
      <c r="D987" s="3"/>
      <c r="H987" s="4"/>
    </row>
    <row r="988" spans="3:8" ht="13.2">
      <c r="C988" s="3"/>
      <c r="D988" s="3"/>
      <c r="H988" s="4"/>
    </row>
    <row r="989" spans="3:8" ht="13.2">
      <c r="C989" s="3"/>
      <c r="D989" s="3"/>
      <c r="H989" s="4"/>
    </row>
    <row r="990" spans="3:8" ht="13.2">
      <c r="C990" s="3"/>
      <c r="D990" s="3"/>
      <c r="H990" s="4"/>
    </row>
    <row r="991" spans="3:8" ht="13.2">
      <c r="C991" s="3"/>
      <c r="D991" s="3"/>
      <c r="H991" s="4"/>
    </row>
    <row r="992" spans="3:8" ht="13.2">
      <c r="C992" s="3"/>
      <c r="D992" s="3"/>
      <c r="H992" s="4"/>
    </row>
    <row r="993" spans="3:8" ht="13.2">
      <c r="C993" s="3"/>
      <c r="D993" s="3"/>
      <c r="H993" s="4"/>
    </row>
    <row r="994" spans="3:8" ht="13.2">
      <c r="C994" s="3"/>
      <c r="D994" s="3"/>
      <c r="H994" s="4"/>
    </row>
    <row r="995" spans="3:8" ht="13.2">
      <c r="C995" s="3"/>
      <c r="D995" s="3"/>
      <c r="H995" s="4"/>
    </row>
    <row r="996" spans="3:8" ht="13.2">
      <c r="C996" s="3"/>
      <c r="D996" s="3"/>
      <c r="H996" s="4"/>
    </row>
    <row r="997" spans="3:8" ht="13.2">
      <c r="C997" s="3"/>
      <c r="D997" s="3"/>
      <c r="H997" s="4"/>
    </row>
    <row r="998" spans="3:8" ht="13.2">
      <c r="C998" s="3"/>
      <c r="D998" s="3"/>
      <c r="H998" s="4"/>
    </row>
    <row r="999" spans="3:8" ht="13.2">
      <c r="C999" s="3"/>
      <c r="D999" s="3"/>
      <c r="H999" s="4"/>
    </row>
    <row r="1000" spans="3:8" ht="13.2">
      <c r="C1000" s="3"/>
      <c r="D1000" s="3"/>
      <c r="H1000" s="4"/>
    </row>
    <row r="1001" spans="3:8" ht="13.2">
      <c r="C1001" s="3"/>
      <c r="D1001" s="3"/>
      <c r="H1001" s="4"/>
    </row>
    <row r="1002" spans="3:8" ht="13.2">
      <c r="C1002" s="3"/>
      <c r="D1002" s="3"/>
      <c r="H1002" s="4"/>
    </row>
    <row r="1003" spans="3:8" ht="13.2">
      <c r="C1003" s="3"/>
      <c r="D1003" s="3"/>
      <c r="H1003" s="4"/>
    </row>
    <row r="1004" spans="3:8" ht="13.2">
      <c r="C1004" s="3"/>
      <c r="D1004" s="3"/>
      <c r="H1004" s="4"/>
    </row>
    <row r="1005" spans="3:8" ht="13.2">
      <c r="C1005" s="3"/>
      <c r="D1005" s="3"/>
      <c r="H1005" s="4"/>
    </row>
    <row r="1006" spans="3:8" ht="13.2">
      <c r="C1006" s="3"/>
      <c r="D1006" s="3"/>
      <c r="H1006" s="4"/>
    </row>
    <row r="1007" spans="3:8" ht="13.2">
      <c r="C1007" s="3"/>
      <c r="D1007" s="3"/>
      <c r="H1007" s="4"/>
    </row>
    <row r="1008" spans="3:8" ht="13.2">
      <c r="C1008" s="3"/>
      <c r="D1008" s="3"/>
      <c r="H1008" s="4"/>
    </row>
    <row r="1009" spans="3:8" ht="13.2">
      <c r="C1009" s="3"/>
      <c r="D1009" s="3"/>
      <c r="H1009" s="4"/>
    </row>
    <row r="1010" spans="3:8" ht="13.2">
      <c r="C1010" s="3"/>
      <c r="D1010" s="3"/>
      <c r="H1010" s="4"/>
    </row>
    <row r="1011" spans="3:8" ht="13.2">
      <c r="C1011" s="3"/>
      <c r="D1011" s="3"/>
      <c r="H1011" s="4"/>
    </row>
    <row r="1012" spans="3:8" ht="13.2">
      <c r="C1012" s="3"/>
      <c r="D1012" s="3"/>
      <c r="H1012" s="4"/>
    </row>
    <row r="1013" spans="3:8" ht="13.2">
      <c r="C1013" s="3"/>
      <c r="D1013" s="3"/>
      <c r="H1013" s="4"/>
    </row>
    <row r="1014" spans="3:8" ht="13.2">
      <c r="C1014" s="3"/>
      <c r="D1014" s="3"/>
      <c r="H1014" s="4"/>
    </row>
    <row r="1015" spans="3:8" ht="13.2">
      <c r="C1015" s="3"/>
      <c r="D1015" s="3"/>
      <c r="H1015" s="4"/>
    </row>
    <row r="1016" spans="3:8" ht="13.2">
      <c r="C1016" s="3"/>
      <c r="D1016" s="3"/>
      <c r="H1016" s="4"/>
    </row>
    <row r="1017" spans="3:8" ht="13.2">
      <c r="C1017" s="3"/>
      <c r="D1017" s="3"/>
      <c r="H1017" s="4"/>
    </row>
    <row r="1018" spans="3:8" ht="13.2">
      <c r="C1018" s="3"/>
      <c r="D1018" s="3"/>
      <c r="H1018" s="4"/>
    </row>
    <row r="1019" spans="3:8" ht="13.2">
      <c r="C1019" s="3"/>
      <c r="D1019" s="3"/>
      <c r="H1019" s="4"/>
    </row>
    <row r="1020" spans="3:8" ht="13.2">
      <c r="C1020" s="3"/>
      <c r="D1020" s="3"/>
      <c r="H1020" s="4"/>
    </row>
    <row r="1021" spans="3:8" ht="13.2">
      <c r="C1021" s="3"/>
      <c r="D1021" s="3"/>
      <c r="H1021" s="4"/>
    </row>
    <row r="1022" spans="3:8" ht="13.2">
      <c r="C1022" s="3"/>
      <c r="D1022" s="3"/>
      <c r="H1022" s="4"/>
    </row>
    <row r="1023" spans="3:8" ht="13.2">
      <c r="C1023" s="3"/>
      <c r="D1023" s="3"/>
      <c r="H1023" s="4"/>
    </row>
    <row r="1024" spans="3:8" ht="13.2">
      <c r="C1024" s="3"/>
      <c r="D1024" s="3"/>
      <c r="H1024" s="4"/>
    </row>
    <row r="1025" spans="3:8" ht="13.2">
      <c r="C1025" s="3"/>
      <c r="D1025" s="3"/>
      <c r="H1025" s="4"/>
    </row>
    <row r="1026" spans="3:8" ht="13.2">
      <c r="C1026" s="3"/>
      <c r="D1026" s="3"/>
      <c r="H1026" s="4"/>
    </row>
    <row r="1027" spans="3:8" ht="13.2">
      <c r="C1027" s="3"/>
      <c r="D1027" s="3"/>
      <c r="H1027" s="4"/>
    </row>
    <row r="1028" spans="3:8" ht="13.2">
      <c r="C1028" s="3"/>
      <c r="D1028" s="3"/>
      <c r="H1028" s="4"/>
    </row>
    <row r="1029" spans="3:8" ht="13.2">
      <c r="C1029" s="3"/>
      <c r="D1029" s="3"/>
      <c r="H1029" s="4"/>
    </row>
    <row r="1030" spans="3:8" ht="13.2">
      <c r="C1030" s="3"/>
      <c r="D1030" s="3"/>
      <c r="H1030" s="4"/>
    </row>
    <row r="1031" spans="3:8" ht="13.2">
      <c r="C1031" s="3"/>
      <c r="D1031" s="3"/>
      <c r="H1031" s="4"/>
    </row>
    <row r="1032" spans="3:8" ht="13.2">
      <c r="C1032" s="3"/>
      <c r="D1032" s="3"/>
      <c r="H1032" s="4"/>
    </row>
    <row r="1033" spans="3:8" ht="13.2">
      <c r="C1033" s="3"/>
      <c r="D1033" s="3"/>
      <c r="H1033" s="4"/>
    </row>
    <row r="1034" spans="3:8" ht="13.2">
      <c r="C1034" s="3"/>
      <c r="D1034" s="3"/>
      <c r="H1034" s="4"/>
    </row>
    <row r="1035" spans="3:8" ht="13.2">
      <c r="C1035" s="3"/>
      <c r="D1035" s="3"/>
      <c r="H1035" s="4"/>
    </row>
    <row r="1036" spans="3:8" ht="13.2">
      <c r="C1036" s="3"/>
      <c r="D1036" s="3"/>
      <c r="H1036" s="4"/>
    </row>
    <row r="1037" spans="3:8" ht="13.2">
      <c r="C1037" s="3"/>
      <c r="D1037" s="3"/>
      <c r="H1037" s="4"/>
    </row>
    <row r="1038" spans="3:8" ht="13.2">
      <c r="C1038" s="3"/>
      <c r="D1038" s="3"/>
      <c r="H1038" s="4"/>
    </row>
    <row r="1039" spans="3:8" ht="13.2">
      <c r="C1039" s="3"/>
      <c r="D1039" s="3"/>
      <c r="H1039" s="4"/>
    </row>
    <row r="1040" spans="3:8" ht="13.2">
      <c r="C1040" s="3"/>
      <c r="D1040" s="3"/>
      <c r="H1040" s="4"/>
    </row>
    <row r="1041" spans="3:8" ht="13.2">
      <c r="C1041" s="3"/>
      <c r="D1041" s="3"/>
      <c r="H1041" s="4"/>
    </row>
    <row r="1042" spans="3:8" ht="13.2">
      <c r="C1042" s="3"/>
      <c r="D1042" s="3"/>
      <c r="H1042" s="4"/>
    </row>
    <row r="1043" spans="3:8" ht="13.2">
      <c r="C1043" s="3"/>
      <c r="D1043" s="3"/>
      <c r="H1043" s="4"/>
    </row>
    <row r="1044" spans="3:8" ht="13.2">
      <c r="C1044" s="3"/>
      <c r="D1044" s="3"/>
      <c r="H1044" s="4"/>
    </row>
    <row r="1045" spans="3:8" ht="13.2">
      <c r="C1045" s="3"/>
      <c r="D1045" s="3"/>
      <c r="H1045" s="4"/>
    </row>
    <row r="1046" spans="3:8" ht="13.2">
      <c r="C1046" s="3"/>
      <c r="D1046" s="3"/>
      <c r="H1046" s="4"/>
    </row>
    <row r="1047" spans="3:8" ht="13.2">
      <c r="C1047" s="3"/>
      <c r="D1047" s="3"/>
      <c r="H1047" s="4"/>
    </row>
    <row r="1048" spans="3:8" ht="13.2">
      <c r="C1048" s="3"/>
      <c r="D1048" s="3"/>
      <c r="H1048" s="4"/>
    </row>
    <row r="1049" spans="3:8" ht="13.2">
      <c r="C1049" s="3"/>
      <c r="D1049" s="3"/>
      <c r="H1049" s="4"/>
    </row>
    <row r="1050" spans="3:8" ht="13.2">
      <c r="C1050" s="3"/>
      <c r="D1050" s="3"/>
      <c r="H1050" s="4"/>
    </row>
    <row r="1051" spans="3:8" ht="13.2">
      <c r="C1051" s="3"/>
      <c r="D1051" s="3"/>
      <c r="H1051" s="4"/>
    </row>
    <row r="1052" spans="3:8" ht="13.2">
      <c r="C1052" s="3"/>
      <c r="D1052" s="3"/>
      <c r="H1052" s="4"/>
    </row>
    <row r="1053" spans="3:8" ht="13.2">
      <c r="C1053" s="3"/>
      <c r="D1053" s="3"/>
      <c r="H1053" s="4"/>
    </row>
    <row r="1054" spans="3:8" ht="13.2">
      <c r="C1054" s="3"/>
      <c r="D1054" s="3"/>
      <c r="H1054" s="4"/>
    </row>
    <row r="1055" spans="3:8" ht="13.2">
      <c r="C1055" s="3"/>
      <c r="D1055" s="3"/>
      <c r="H1055" s="4"/>
    </row>
    <row r="1056" spans="3:8" ht="13.2">
      <c r="C1056" s="3"/>
      <c r="D1056" s="3"/>
      <c r="H1056" s="4"/>
    </row>
    <row r="1057" spans="3:8" ht="13.2">
      <c r="C1057" s="3"/>
      <c r="D1057" s="3"/>
      <c r="H1057" s="4"/>
    </row>
    <row r="1058" spans="3:8" ht="13.2">
      <c r="C1058" s="3"/>
      <c r="D1058" s="3"/>
      <c r="H1058" s="4"/>
    </row>
    <row r="1059" spans="3:8" ht="13.2">
      <c r="C1059" s="3"/>
      <c r="D1059" s="3"/>
      <c r="H1059" s="4"/>
    </row>
    <row r="1060" spans="3:8" ht="13.2">
      <c r="C1060" s="3"/>
      <c r="D1060" s="3"/>
      <c r="H1060" s="4"/>
    </row>
    <row r="1061" spans="3:8" ht="13.2">
      <c r="C1061" s="3"/>
      <c r="D1061" s="3"/>
      <c r="H1061" s="4"/>
    </row>
    <row r="1062" spans="3:8" ht="13.2">
      <c r="C1062" s="3"/>
      <c r="D1062" s="3"/>
      <c r="H1062" s="4"/>
    </row>
    <row r="1063" spans="3:8" ht="13.2">
      <c r="C1063" s="3"/>
      <c r="D1063" s="3"/>
      <c r="H1063" s="4"/>
    </row>
    <row r="1064" spans="3:8" ht="13.2">
      <c r="C1064" s="3"/>
      <c r="D1064" s="3"/>
      <c r="H1064" s="4"/>
    </row>
    <row r="1065" spans="3:8" ht="13.2">
      <c r="C1065" s="3"/>
      <c r="D1065" s="3"/>
      <c r="H1065" s="4"/>
    </row>
    <row r="1066" spans="3:8" ht="13.2">
      <c r="C1066" s="3"/>
      <c r="D1066" s="3"/>
      <c r="H1066" s="4"/>
    </row>
    <row r="1067" spans="3:8" ht="13.2">
      <c r="C1067" s="3"/>
      <c r="D1067" s="3"/>
      <c r="H1067" s="4"/>
    </row>
    <row r="1068" spans="3:8" ht="13.2">
      <c r="C1068" s="3"/>
      <c r="D1068" s="3"/>
      <c r="H1068" s="4"/>
    </row>
    <row r="1069" spans="3:8" ht="13.2">
      <c r="C1069" s="3"/>
      <c r="D1069" s="3"/>
      <c r="H1069" s="4"/>
    </row>
    <row r="1070" spans="3:8" ht="13.2">
      <c r="C1070" s="3"/>
      <c r="D1070" s="3"/>
      <c r="H1070" s="4"/>
    </row>
    <row r="1071" spans="3:8" ht="13.2">
      <c r="C1071" s="3"/>
      <c r="D1071" s="3"/>
      <c r="H1071" s="4"/>
    </row>
    <row r="1072" spans="3:8" ht="13.2">
      <c r="C1072" s="3"/>
      <c r="D1072" s="3"/>
      <c r="H1072" s="4"/>
    </row>
    <row r="1073" spans="3:8" ht="13.2">
      <c r="C1073" s="3"/>
      <c r="D1073" s="3"/>
      <c r="H1073" s="4"/>
    </row>
  </sheetData>
  <mergeCells count="249">
    <mergeCell ref="B88:B150"/>
    <mergeCell ref="C145:C147"/>
    <mergeCell ref="D145:D147"/>
    <mergeCell ref="F145:F147"/>
    <mergeCell ref="G145:G147"/>
    <mergeCell ref="H145:H147"/>
    <mergeCell ref="D139:D141"/>
    <mergeCell ref="F139:F141"/>
    <mergeCell ref="G139:G141"/>
    <mergeCell ref="H139:H141"/>
    <mergeCell ref="C142:C144"/>
    <mergeCell ref="D142:D144"/>
    <mergeCell ref="F142:F144"/>
    <mergeCell ref="G142:G144"/>
    <mergeCell ref="H142:H144"/>
    <mergeCell ref="G109:G111"/>
    <mergeCell ref="H109:H111"/>
    <mergeCell ref="F148:F150"/>
    <mergeCell ref="G148:G150"/>
    <mergeCell ref="H148:H150"/>
    <mergeCell ref="F130:F132"/>
    <mergeCell ref="G130:G132"/>
    <mergeCell ref="H130:H132"/>
    <mergeCell ref="F133:F135"/>
    <mergeCell ref="G133:G135"/>
    <mergeCell ref="H133:H135"/>
    <mergeCell ref="G100:G102"/>
    <mergeCell ref="H100:H102"/>
    <mergeCell ref="C103:C105"/>
    <mergeCell ref="D103:D105"/>
    <mergeCell ref="F103:F105"/>
    <mergeCell ref="G103:G105"/>
    <mergeCell ref="H103:H105"/>
    <mergeCell ref="G127:G129"/>
    <mergeCell ref="H127:H129"/>
    <mergeCell ref="G106:G108"/>
    <mergeCell ref="H106:H108"/>
    <mergeCell ref="G124:G126"/>
    <mergeCell ref="H124:H126"/>
    <mergeCell ref="D121:D123"/>
    <mergeCell ref="F121:F123"/>
    <mergeCell ref="G121:G123"/>
    <mergeCell ref="H121:H123"/>
    <mergeCell ref="C118:C120"/>
    <mergeCell ref="D118:D120"/>
    <mergeCell ref="F118:F120"/>
    <mergeCell ref="G118:G120"/>
    <mergeCell ref="H118:H120"/>
    <mergeCell ref="B87:F87"/>
    <mergeCell ref="C148:C150"/>
    <mergeCell ref="D148:D150"/>
    <mergeCell ref="C100:C102"/>
    <mergeCell ref="D100:D102"/>
    <mergeCell ref="F100:F102"/>
    <mergeCell ref="C109:C111"/>
    <mergeCell ref="D109:D111"/>
    <mergeCell ref="F109:F111"/>
    <mergeCell ref="C130:C132"/>
    <mergeCell ref="D130:D132"/>
    <mergeCell ref="C133:C135"/>
    <mergeCell ref="D133:D135"/>
    <mergeCell ref="C139:C141"/>
    <mergeCell ref="C127:C129"/>
    <mergeCell ref="D127:D129"/>
    <mergeCell ref="F127:F129"/>
    <mergeCell ref="C106:C108"/>
    <mergeCell ref="D106:D108"/>
    <mergeCell ref="F106:F108"/>
    <mergeCell ref="C124:C126"/>
    <mergeCell ref="D124:D126"/>
    <mergeCell ref="F124:F126"/>
    <mergeCell ref="C121:C123"/>
    <mergeCell ref="C84:C86"/>
    <mergeCell ref="D84:D86"/>
    <mergeCell ref="F84:F86"/>
    <mergeCell ref="G84:G86"/>
    <mergeCell ref="H84:H86"/>
    <mergeCell ref="C81:C83"/>
    <mergeCell ref="D81:D83"/>
    <mergeCell ref="F81:F83"/>
    <mergeCell ref="G81:G83"/>
    <mergeCell ref="H81:H83"/>
    <mergeCell ref="F75:F77"/>
    <mergeCell ref="G75:G77"/>
    <mergeCell ref="H75:H77"/>
    <mergeCell ref="C78:C80"/>
    <mergeCell ref="D78:D80"/>
    <mergeCell ref="F78:F80"/>
    <mergeCell ref="G78:G80"/>
    <mergeCell ref="H78:H80"/>
    <mergeCell ref="G69:G71"/>
    <mergeCell ref="H69:H71"/>
    <mergeCell ref="C72:C74"/>
    <mergeCell ref="D72:D74"/>
    <mergeCell ref="F72:F74"/>
    <mergeCell ref="G72:G74"/>
    <mergeCell ref="H72:H74"/>
    <mergeCell ref="F66:F68"/>
    <mergeCell ref="G66:G68"/>
    <mergeCell ref="H66:H68"/>
    <mergeCell ref="G57:G59"/>
    <mergeCell ref="H57:H59"/>
    <mergeCell ref="C60:C62"/>
    <mergeCell ref="D60:D62"/>
    <mergeCell ref="F60:F62"/>
    <mergeCell ref="G60:G62"/>
    <mergeCell ref="H60:H62"/>
    <mergeCell ref="C54:C56"/>
    <mergeCell ref="D54:D56"/>
    <mergeCell ref="F54:F56"/>
    <mergeCell ref="G54:G56"/>
    <mergeCell ref="H54:H56"/>
    <mergeCell ref="B51:B86"/>
    <mergeCell ref="C51:C53"/>
    <mergeCell ref="D51:D53"/>
    <mergeCell ref="F51:F53"/>
    <mergeCell ref="C57:C59"/>
    <mergeCell ref="D57:D59"/>
    <mergeCell ref="F57:F59"/>
    <mergeCell ref="C63:C65"/>
    <mergeCell ref="D63:D65"/>
    <mergeCell ref="F63:F65"/>
    <mergeCell ref="C69:C71"/>
    <mergeCell ref="D69:D71"/>
    <mergeCell ref="F69:F71"/>
    <mergeCell ref="C75:C77"/>
    <mergeCell ref="D75:D77"/>
    <mergeCell ref="G63:G65"/>
    <mergeCell ref="H63:H65"/>
    <mergeCell ref="C66:C68"/>
    <mergeCell ref="D66:D68"/>
    <mergeCell ref="C13:C15"/>
    <mergeCell ref="D13:D15"/>
    <mergeCell ref="F13:F15"/>
    <mergeCell ref="G13:G15"/>
    <mergeCell ref="H13:H15"/>
    <mergeCell ref="G51:G53"/>
    <mergeCell ref="H51:H53"/>
    <mergeCell ref="H31:H33"/>
    <mergeCell ref="G40:G42"/>
    <mergeCell ref="H40:H42"/>
    <mergeCell ref="C37:C39"/>
    <mergeCell ref="D37:D39"/>
    <mergeCell ref="F37:F39"/>
    <mergeCell ref="G37:G39"/>
    <mergeCell ref="H37:H39"/>
    <mergeCell ref="H34:H36"/>
    <mergeCell ref="G34:G36"/>
    <mergeCell ref="G43:G45"/>
    <mergeCell ref="G31:G33"/>
    <mergeCell ref="C19:C21"/>
    <mergeCell ref="D19:D21"/>
    <mergeCell ref="F19:F21"/>
    <mergeCell ref="C25:C27"/>
    <mergeCell ref="D25:D27"/>
    <mergeCell ref="G97:G99"/>
    <mergeCell ref="H97:H99"/>
    <mergeCell ref="C115:C117"/>
    <mergeCell ref="D115:D117"/>
    <mergeCell ref="F115:F117"/>
    <mergeCell ref="G115:G117"/>
    <mergeCell ref="H115:H117"/>
    <mergeCell ref="C112:C114"/>
    <mergeCell ref="D112:D114"/>
    <mergeCell ref="F112:F114"/>
    <mergeCell ref="G112:G114"/>
    <mergeCell ref="H112:H114"/>
    <mergeCell ref="G2:G5"/>
    <mergeCell ref="H2:H5"/>
    <mergeCell ref="C1:H1"/>
    <mergeCell ref="C46:C48"/>
    <mergeCell ref="D46:D48"/>
    <mergeCell ref="F46:F48"/>
    <mergeCell ref="G46:G48"/>
    <mergeCell ref="H46:H48"/>
    <mergeCell ref="B6:F6"/>
    <mergeCell ref="H7:H9"/>
    <mergeCell ref="G7:G9"/>
    <mergeCell ref="G10:G12"/>
    <mergeCell ref="H10:H12"/>
    <mergeCell ref="G16:G18"/>
    <mergeCell ref="H16:H18"/>
    <mergeCell ref="G19:G21"/>
    <mergeCell ref="H19:H21"/>
    <mergeCell ref="G25:G27"/>
    <mergeCell ref="H25:H27"/>
    <mergeCell ref="C28:C30"/>
    <mergeCell ref="D28:D30"/>
    <mergeCell ref="F28:F30"/>
    <mergeCell ref="G28:G30"/>
    <mergeCell ref="H28:H30"/>
    <mergeCell ref="B2:B5"/>
    <mergeCell ref="C2:C5"/>
    <mergeCell ref="D2:D5"/>
    <mergeCell ref="E2:E5"/>
    <mergeCell ref="F2:F5"/>
    <mergeCell ref="C7:C9"/>
    <mergeCell ref="D7:D9"/>
    <mergeCell ref="F7:F9"/>
    <mergeCell ref="C10:C12"/>
    <mergeCell ref="D10:D12"/>
    <mergeCell ref="F10:F12"/>
    <mergeCell ref="B7:B48"/>
    <mergeCell ref="C34:C36"/>
    <mergeCell ref="D34:D36"/>
    <mergeCell ref="F34:F36"/>
    <mergeCell ref="C43:C45"/>
    <mergeCell ref="D43:D45"/>
    <mergeCell ref="F43:F45"/>
    <mergeCell ref="C31:C33"/>
    <mergeCell ref="D31:D33"/>
    <mergeCell ref="F31:F33"/>
    <mergeCell ref="C16:C18"/>
    <mergeCell ref="D16:D18"/>
    <mergeCell ref="F16:F18"/>
    <mergeCell ref="F25:F27"/>
    <mergeCell ref="C22:C24"/>
    <mergeCell ref="D22:D24"/>
    <mergeCell ref="H43:H45"/>
    <mergeCell ref="C40:C42"/>
    <mergeCell ref="D40:D42"/>
    <mergeCell ref="F40:F42"/>
    <mergeCell ref="F22:F24"/>
    <mergeCell ref="G22:G24"/>
    <mergeCell ref="H22:H24"/>
    <mergeCell ref="C136:C138"/>
    <mergeCell ref="D136:D138"/>
    <mergeCell ref="F136:F138"/>
    <mergeCell ref="G136:G138"/>
    <mergeCell ref="H136:H138"/>
    <mergeCell ref="B50:F50"/>
    <mergeCell ref="C88:C90"/>
    <mergeCell ref="D88:D90"/>
    <mergeCell ref="F88:F90"/>
    <mergeCell ref="G88:G90"/>
    <mergeCell ref="H88:H90"/>
    <mergeCell ref="C94:C96"/>
    <mergeCell ref="D94:D96"/>
    <mergeCell ref="F94:F96"/>
    <mergeCell ref="G94:G96"/>
    <mergeCell ref="H94:H96"/>
    <mergeCell ref="C91:C93"/>
    <mergeCell ref="D91:D93"/>
    <mergeCell ref="F91:F93"/>
    <mergeCell ref="G91:G93"/>
    <mergeCell ref="H91:H93"/>
    <mergeCell ref="C97:C99"/>
    <mergeCell ref="D97:D99"/>
    <mergeCell ref="F97:F99"/>
  </mergeCells>
  <phoneticPr fontId="8" type="noConversion"/>
  <dataValidations count="3">
    <dataValidation type="list" allowBlank="1" showInputMessage="1" showErrorMessage="1" sqref="F7:F49 F88:F150 F51:F86">
      <formula1>"YES, N/A"</formula1>
    </dataValidation>
    <dataValidation type="list" allowBlank="1" showInputMessage="1" showErrorMessage="1" sqref="G75:G86 G124:G147 G106:G108 G115:G117 G63:G71 G91:G93 G25:G27 G7:G18 G34:G49">
      <formula1>"0,2,5"</formula1>
    </dataValidation>
    <dataValidation type="list" allowBlank="1" showInputMessage="1" showErrorMessage="1" sqref="G28:G33 G118:G123 G109:G114 G94:G105 G88:G90 G72:G74 G51:G62 G19:G24 G148:G150">
      <formula1>"0,5,10"</formula1>
    </dataValidation>
  </dataValidations>
  <printOptions horizontalCentered="1" gridLines="1"/>
  <pageMargins left="0.70866141732283472" right="0.70866141732283472" top="0.74803149606299213" bottom="0.74803149606299213" header="0" footer="0"/>
  <pageSetup paperSize="9" scale="73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71"/>
  <sheetViews>
    <sheetView zoomScale="85" zoomScaleNormal="85" zoomScaleSheetLayoutView="100" workbookViewId="0">
      <selection activeCell="G138" sqref="G138"/>
    </sheetView>
  </sheetViews>
  <sheetFormatPr defaultColWidth="9.109375" defaultRowHeight="11.25" customHeight="1"/>
  <cols>
    <col min="1" max="1" width="2.109375" style="5" customWidth="1"/>
    <col min="2" max="2" width="16" style="5" customWidth="1"/>
    <col min="3" max="3" width="54.109375" style="5" customWidth="1"/>
    <col min="4" max="6" width="5.6640625" style="5" customWidth="1"/>
    <col min="7" max="7" width="35.88671875" style="5" customWidth="1"/>
    <col min="8" max="8" width="14.6640625" style="5" customWidth="1"/>
    <col min="9" max="9" width="9.109375" style="5"/>
    <col min="10" max="10" width="44.109375" style="5" customWidth="1"/>
    <col min="11" max="11" width="9.109375" style="5"/>
    <col min="12" max="12" width="41.109375" style="5" customWidth="1"/>
    <col min="13" max="247" width="9.109375" style="5"/>
    <col min="248" max="248" width="2.109375" style="5" customWidth="1"/>
    <col min="249" max="249" width="51.44140625" style="5" customWidth="1"/>
    <col min="250" max="251" width="5" style="5" customWidth="1"/>
    <col min="252" max="261" width="2.44140625" style="5" customWidth="1"/>
    <col min="262" max="262" width="6.6640625" style="5" bestFit="1" customWidth="1"/>
    <col min="263" max="263" width="35.88671875" style="5" customWidth="1"/>
    <col min="264" max="264" width="14.6640625" style="5" customWidth="1"/>
    <col min="265" max="265" width="9.109375" style="5"/>
    <col min="266" max="266" width="44.109375" style="5" customWidth="1"/>
    <col min="267" max="267" width="9.109375" style="5"/>
    <col min="268" max="268" width="41.109375" style="5" customWidth="1"/>
    <col min="269" max="503" width="9.109375" style="5"/>
    <col min="504" max="504" width="2.109375" style="5" customWidth="1"/>
    <col min="505" max="505" width="51.44140625" style="5" customWidth="1"/>
    <col min="506" max="507" width="5" style="5" customWidth="1"/>
    <col min="508" max="517" width="2.44140625" style="5" customWidth="1"/>
    <col min="518" max="518" width="6.6640625" style="5" bestFit="1" customWidth="1"/>
    <col min="519" max="519" width="35.88671875" style="5" customWidth="1"/>
    <col min="520" max="520" width="14.6640625" style="5" customWidth="1"/>
    <col min="521" max="521" width="9.109375" style="5"/>
    <col min="522" max="522" width="44.109375" style="5" customWidth="1"/>
    <col min="523" max="523" width="9.109375" style="5"/>
    <col min="524" max="524" width="41.109375" style="5" customWidth="1"/>
    <col min="525" max="759" width="9.109375" style="5"/>
    <col min="760" max="760" width="2.109375" style="5" customWidth="1"/>
    <col min="761" max="761" width="51.44140625" style="5" customWidth="1"/>
    <col min="762" max="763" width="5" style="5" customWidth="1"/>
    <col min="764" max="773" width="2.44140625" style="5" customWidth="1"/>
    <col min="774" max="774" width="6.6640625" style="5" bestFit="1" customWidth="1"/>
    <col min="775" max="775" width="35.88671875" style="5" customWidth="1"/>
    <col min="776" max="776" width="14.6640625" style="5" customWidth="1"/>
    <col min="777" max="777" width="9.109375" style="5"/>
    <col min="778" max="778" width="44.109375" style="5" customWidth="1"/>
    <col min="779" max="779" width="9.109375" style="5"/>
    <col min="780" max="780" width="41.109375" style="5" customWidth="1"/>
    <col min="781" max="1015" width="9.109375" style="5"/>
    <col min="1016" max="1016" width="2.109375" style="5" customWidth="1"/>
    <col min="1017" max="1017" width="51.44140625" style="5" customWidth="1"/>
    <col min="1018" max="1019" width="5" style="5" customWidth="1"/>
    <col min="1020" max="1029" width="2.44140625" style="5" customWidth="1"/>
    <col min="1030" max="1030" width="6.6640625" style="5" bestFit="1" customWidth="1"/>
    <col min="1031" max="1031" width="35.88671875" style="5" customWidth="1"/>
    <col min="1032" max="1032" width="14.6640625" style="5" customWidth="1"/>
    <col min="1033" max="1033" width="9.109375" style="5"/>
    <col min="1034" max="1034" width="44.109375" style="5" customWidth="1"/>
    <col min="1035" max="1035" width="9.109375" style="5"/>
    <col min="1036" max="1036" width="41.109375" style="5" customWidth="1"/>
    <col min="1037" max="1271" width="9.109375" style="5"/>
    <col min="1272" max="1272" width="2.109375" style="5" customWidth="1"/>
    <col min="1273" max="1273" width="51.44140625" style="5" customWidth="1"/>
    <col min="1274" max="1275" width="5" style="5" customWidth="1"/>
    <col min="1276" max="1285" width="2.44140625" style="5" customWidth="1"/>
    <col min="1286" max="1286" width="6.6640625" style="5" bestFit="1" customWidth="1"/>
    <col min="1287" max="1287" width="35.88671875" style="5" customWidth="1"/>
    <col min="1288" max="1288" width="14.6640625" style="5" customWidth="1"/>
    <col min="1289" max="1289" width="9.109375" style="5"/>
    <col min="1290" max="1290" width="44.109375" style="5" customWidth="1"/>
    <col min="1291" max="1291" width="9.109375" style="5"/>
    <col min="1292" max="1292" width="41.109375" style="5" customWidth="1"/>
    <col min="1293" max="1527" width="9.109375" style="5"/>
    <col min="1528" max="1528" width="2.109375" style="5" customWidth="1"/>
    <col min="1529" max="1529" width="51.44140625" style="5" customWidth="1"/>
    <col min="1530" max="1531" width="5" style="5" customWidth="1"/>
    <col min="1532" max="1541" width="2.44140625" style="5" customWidth="1"/>
    <col min="1542" max="1542" width="6.6640625" style="5" bestFit="1" customWidth="1"/>
    <col min="1543" max="1543" width="35.88671875" style="5" customWidth="1"/>
    <col min="1544" max="1544" width="14.6640625" style="5" customWidth="1"/>
    <col min="1545" max="1545" width="9.109375" style="5"/>
    <col min="1546" max="1546" width="44.109375" style="5" customWidth="1"/>
    <col min="1547" max="1547" width="9.109375" style="5"/>
    <col min="1548" max="1548" width="41.109375" style="5" customWidth="1"/>
    <col min="1549" max="1783" width="9.109375" style="5"/>
    <col min="1784" max="1784" width="2.109375" style="5" customWidth="1"/>
    <col min="1785" max="1785" width="51.44140625" style="5" customWidth="1"/>
    <col min="1786" max="1787" width="5" style="5" customWidth="1"/>
    <col min="1788" max="1797" width="2.44140625" style="5" customWidth="1"/>
    <col min="1798" max="1798" width="6.6640625" style="5" bestFit="1" customWidth="1"/>
    <col min="1799" max="1799" width="35.88671875" style="5" customWidth="1"/>
    <col min="1800" max="1800" width="14.6640625" style="5" customWidth="1"/>
    <col min="1801" max="1801" width="9.109375" style="5"/>
    <col min="1802" max="1802" width="44.109375" style="5" customWidth="1"/>
    <col min="1803" max="1803" width="9.109375" style="5"/>
    <col min="1804" max="1804" width="41.109375" style="5" customWidth="1"/>
    <col min="1805" max="2039" width="9.109375" style="5"/>
    <col min="2040" max="2040" width="2.109375" style="5" customWidth="1"/>
    <col min="2041" max="2041" width="51.44140625" style="5" customWidth="1"/>
    <col min="2042" max="2043" width="5" style="5" customWidth="1"/>
    <col min="2044" max="2053" width="2.44140625" style="5" customWidth="1"/>
    <col min="2054" max="2054" width="6.6640625" style="5" bestFit="1" customWidth="1"/>
    <col min="2055" max="2055" width="35.88671875" style="5" customWidth="1"/>
    <col min="2056" max="2056" width="14.6640625" style="5" customWidth="1"/>
    <col min="2057" max="2057" width="9.109375" style="5"/>
    <col min="2058" max="2058" width="44.109375" style="5" customWidth="1"/>
    <col min="2059" max="2059" width="9.109375" style="5"/>
    <col min="2060" max="2060" width="41.109375" style="5" customWidth="1"/>
    <col min="2061" max="2295" width="9.109375" style="5"/>
    <col min="2296" max="2296" width="2.109375" style="5" customWidth="1"/>
    <col min="2297" max="2297" width="51.44140625" style="5" customWidth="1"/>
    <col min="2298" max="2299" width="5" style="5" customWidth="1"/>
    <col min="2300" max="2309" width="2.44140625" style="5" customWidth="1"/>
    <col min="2310" max="2310" width="6.6640625" style="5" bestFit="1" customWidth="1"/>
    <col min="2311" max="2311" width="35.88671875" style="5" customWidth="1"/>
    <col min="2312" max="2312" width="14.6640625" style="5" customWidth="1"/>
    <col min="2313" max="2313" width="9.109375" style="5"/>
    <col min="2314" max="2314" width="44.109375" style="5" customWidth="1"/>
    <col min="2315" max="2315" width="9.109375" style="5"/>
    <col min="2316" max="2316" width="41.109375" style="5" customWidth="1"/>
    <col min="2317" max="2551" width="9.109375" style="5"/>
    <col min="2552" max="2552" width="2.109375" style="5" customWidth="1"/>
    <col min="2553" max="2553" width="51.44140625" style="5" customWidth="1"/>
    <col min="2554" max="2555" width="5" style="5" customWidth="1"/>
    <col min="2556" max="2565" width="2.44140625" style="5" customWidth="1"/>
    <col min="2566" max="2566" width="6.6640625" style="5" bestFit="1" customWidth="1"/>
    <col min="2567" max="2567" width="35.88671875" style="5" customWidth="1"/>
    <col min="2568" max="2568" width="14.6640625" style="5" customWidth="1"/>
    <col min="2569" max="2569" width="9.109375" style="5"/>
    <col min="2570" max="2570" width="44.109375" style="5" customWidth="1"/>
    <col min="2571" max="2571" width="9.109375" style="5"/>
    <col min="2572" max="2572" width="41.109375" style="5" customWidth="1"/>
    <col min="2573" max="2807" width="9.109375" style="5"/>
    <col min="2808" max="2808" width="2.109375" style="5" customWidth="1"/>
    <col min="2809" max="2809" width="51.44140625" style="5" customWidth="1"/>
    <col min="2810" max="2811" width="5" style="5" customWidth="1"/>
    <col min="2812" max="2821" width="2.44140625" style="5" customWidth="1"/>
    <col min="2822" max="2822" width="6.6640625" style="5" bestFit="1" customWidth="1"/>
    <col min="2823" max="2823" width="35.88671875" style="5" customWidth="1"/>
    <col min="2824" max="2824" width="14.6640625" style="5" customWidth="1"/>
    <col min="2825" max="2825" width="9.109375" style="5"/>
    <col min="2826" max="2826" width="44.109375" style="5" customWidth="1"/>
    <col min="2827" max="2827" width="9.109375" style="5"/>
    <col min="2828" max="2828" width="41.109375" style="5" customWidth="1"/>
    <col min="2829" max="3063" width="9.109375" style="5"/>
    <col min="3064" max="3064" width="2.109375" style="5" customWidth="1"/>
    <col min="3065" max="3065" width="51.44140625" style="5" customWidth="1"/>
    <col min="3066" max="3067" width="5" style="5" customWidth="1"/>
    <col min="3068" max="3077" width="2.44140625" style="5" customWidth="1"/>
    <col min="3078" max="3078" width="6.6640625" style="5" bestFit="1" customWidth="1"/>
    <col min="3079" max="3079" width="35.88671875" style="5" customWidth="1"/>
    <col min="3080" max="3080" width="14.6640625" style="5" customWidth="1"/>
    <col min="3081" max="3081" width="9.109375" style="5"/>
    <col min="3082" max="3082" width="44.109375" style="5" customWidth="1"/>
    <col min="3083" max="3083" width="9.109375" style="5"/>
    <col min="3084" max="3084" width="41.109375" style="5" customWidth="1"/>
    <col min="3085" max="3319" width="9.109375" style="5"/>
    <col min="3320" max="3320" width="2.109375" style="5" customWidth="1"/>
    <col min="3321" max="3321" width="51.44140625" style="5" customWidth="1"/>
    <col min="3322" max="3323" width="5" style="5" customWidth="1"/>
    <col min="3324" max="3333" width="2.44140625" style="5" customWidth="1"/>
    <col min="3334" max="3334" width="6.6640625" style="5" bestFit="1" customWidth="1"/>
    <col min="3335" max="3335" width="35.88671875" style="5" customWidth="1"/>
    <col min="3336" max="3336" width="14.6640625" style="5" customWidth="1"/>
    <col min="3337" max="3337" width="9.109375" style="5"/>
    <col min="3338" max="3338" width="44.109375" style="5" customWidth="1"/>
    <col min="3339" max="3339" width="9.109375" style="5"/>
    <col min="3340" max="3340" width="41.109375" style="5" customWidth="1"/>
    <col min="3341" max="3575" width="9.109375" style="5"/>
    <col min="3576" max="3576" width="2.109375" style="5" customWidth="1"/>
    <col min="3577" max="3577" width="51.44140625" style="5" customWidth="1"/>
    <col min="3578" max="3579" width="5" style="5" customWidth="1"/>
    <col min="3580" max="3589" width="2.44140625" style="5" customWidth="1"/>
    <col min="3590" max="3590" width="6.6640625" style="5" bestFit="1" customWidth="1"/>
    <col min="3591" max="3591" width="35.88671875" style="5" customWidth="1"/>
    <col min="3592" max="3592" width="14.6640625" style="5" customWidth="1"/>
    <col min="3593" max="3593" width="9.109375" style="5"/>
    <col min="3594" max="3594" width="44.109375" style="5" customWidth="1"/>
    <col min="3595" max="3595" width="9.109375" style="5"/>
    <col min="3596" max="3596" width="41.109375" style="5" customWidth="1"/>
    <col min="3597" max="3831" width="9.109375" style="5"/>
    <col min="3832" max="3832" width="2.109375" style="5" customWidth="1"/>
    <col min="3833" max="3833" width="51.44140625" style="5" customWidth="1"/>
    <col min="3834" max="3835" width="5" style="5" customWidth="1"/>
    <col min="3836" max="3845" width="2.44140625" style="5" customWidth="1"/>
    <col min="3846" max="3846" width="6.6640625" style="5" bestFit="1" customWidth="1"/>
    <col min="3847" max="3847" width="35.88671875" style="5" customWidth="1"/>
    <col min="3848" max="3848" width="14.6640625" style="5" customWidth="1"/>
    <col min="3849" max="3849" width="9.109375" style="5"/>
    <col min="3850" max="3850" width="44.109375" style="5" customWidth="1"/>
    <col min="3851" max="3851" width="9.109375" style="5"/>
    <col min="3852" max="3852" width="41.109375" style="5" customWidth="1"/>
    <col min="3853" max="4087" width="9.109375" style="5"/>
    <col min="4088" max="4088" width="2.109375" style="5" customWidth="1"/>
    <col min="4089" max="4089" width="51.44140625" style="5" customWidth="1"/>
    <col min="4090" max="4091" width="5" style="5" customWidth="1"/>
    <col min="4092" max="4101" width="2.44140625" style="5" customWidth="1"/>
    <col min="4102" max="4102" width="6.6640625" style="5" bestFit="1" customWidth="1"/>
    <col min="4103" max="4103" width="35.88671875" style="5" customWidth="1"/>
    <col min="4104" max="4104" width="14.6640625" style="5" customWidth="1"/>
    <col min="4105" max="4105" width="9.109375" style="5"/>
    <col min="4106" max="4106" width="44.109375" style="5" customWidth="1"/>
    <col min="4107" max="4107" width="9.109375" style="5"/>
    <col min="4108" max="4108" width="41.109375" style="5" customWidth="1"/>
    <col min="4109" max="4343" width="9.109375" style="5"/>
    <col min="4344" max="4344" width="2.109375" style="5" customWidth="1"/>
    <col min="4345" max="4345" width="51.44140625" style="5" customWidth="1"/>
    <col min="4346" max="4347" width="5" style="5" customWidth="1"/>
    <col min="4348" max="4357" width="2.44140625" style="5" customWidth="1"/>
    <col min="4358" max="4358" width="6.6640625" style="5" bestFit="1" customWidth="1"/>
    <col min="4359" max="4359" width="35.88671875" style="5" customWidth="1"/>
    <col min="4360" max="4360" width="14.6640625" style="5" customWidth="1"/>
    <col min="4361" max="4361" width="9.109375" style="5"/>
    <col min="4362" max="4362" width="44.109375" style="5" customWidth="1"/>
    <col min="4363" max="4363" width="9.109375" style="5"/>
    <col min="4364" max="4364" width="41.109375" style="5" customWidth="1"/>
    <col min="4365" max="4599" width="9.109375" style="5"/>
    <col min="4600" max="4600" width="2.109375" style="5" customWidth="1"/>
    <col min="4601" max="4601" width="51.44140625" style="5" customWidth="1"/>
    <col min="4602" max="4603" width="5" style="5" customWidth="1"/>
    <col min="4604" max="4613" width="2.44140625" style="5" customWidth="1"/>
    <col min="4614" max="4614" width="6.6640625" style="5" bestFit="1" customWidth="1"/>
    <col min="4615" max="4615" width="35.88671875" style="5" customWidth="1"/>
    <col min="4616" max="4616" width="14.6640625" style="5" customWidth="1"/>
    <col min="4617" max="4617" width="9.109375" style="5"/>
    <col min="4618" max="4618" width="44.109375" style="5" customWidth="1"/>
    <col min="4619" max="4619" width="9.109375" style="5"/>
    <col min="4620" max="4620" width="41.109375" style="5" customWidth="1"/>
    <col min="4621" max="4855" width="9.109375" style="5"/>
    <col min="4856" max="4856" width="2.109375" style="5" customWidth="1"/>
    <col min="4857" max="4857" width="51.44140625" style="5" customWidth="1"/>
    <col min="4858" max="4859" width="5" style="5" customWidth="1"/>
    <col min="4860" max="4869" width="2.44140625" style="5" customWidth="1"/>
    <col min="4870" max="4870" width="6.6640625" style="5" bestFit="1" customWidth="1"/>
    <col min="4871" max="4871" width="35.88671875" style="5" customWidth="1"/>
    <col min="4872" max="4872" width="14.6640625" style="5" customWidth="1"/>
    <col min="4873" max="4873" width="9.109375" style="5"/>
    <col min="4874" max="4874" width="44.109375" style="5" customWidth="1"/>
    <col min="4875" max="4875" width="9.109375" style="5"/>
    <col min="4876" max="4876" width="41.109375" style="5" customWidth="1"/>
    <col min="4877" max="5111" width="9.109375" style="5"/>
    <col min="5112" max="5112" width="2.109375" style="5" customWidth="1"/>
    <col min="5113" max="5113" width="51.44140625" style="5" customWidth="1"/>
    <col min="5114" max="5115" width="5" style="5" customWidth="1"/>
    <col min="5116" max="5125" width="2.44140625" style="5" customWidth="1"/>
    <col min="5126" max="5126" width="6.6640625" style="5" bestFit="1" customWidth="1"/>
    <col min="5127" max="5127" width="35.88671875" style="5" customWidth="1"/>
    <col min="5128" max="5128" width="14.6640625" style="5" customWidth="1"/>
    <col min="5129" max="5129" width="9.109375" style="5"/>
    <col min="5130" max="5130" width="44.109375" style="5" customWidth="1"/>
    <col min="5131" max="5131" width="9.109375" style="5"/>
    <col min="5132" max="5132" width="41.109375" style="5" customWidth="1"/>
    <col min="5133" max="5367" width="9.109375" style="5"/>
    <col min="5368" max="5368" width="2.109375" style="5" customWidth="1"/>
    <col min="5369" max="5369" width="51.44140625" style="5" customWidth="1"/>
    <col min="5370" max="5371" width="5" style="5" customWidth="1"/>
    <col min="5372" max="5381" width="2.44140625" style="5" customWidth="1"/>
    <col min="5382" max="5382" width="6.6640625" style="5" bestFit="1" customWidth="1"/>
    <col min="5383" max="5383" width="35.88671875" style="5" customWidth="1"/>
    <col min="5384" max="5384" width="14.6640625" style="5" customWidth="1"/>
    <col min="5385" max="5385" width="9.109375" style="5"/>
    <col min="5386" max="5386" width="44.109375" style="5" customWidth="1"/>
    <col min="5387" max="5387" width="9.109375" style="5"/>
    <col min="5388" max="5388" width="41.109375" style="5" customWidth="1"/>
    <col min="5389" max="5623" width="9.109375" style="5"/>
    <col min="5624" max="5624" width="2.109375" style="5" customWidth="1"/>
    <col min="5625" max="5625" width="51.44140625" style="5" customWidth="1"/>
    <col min="5626" max="5627" width="5" style="5" customWidth="1"/>
    <col min="5628" max="5637" width="2.44140625" style="5" customWidth="1"/>
    <col min="5638" max="5638" width="6.6640625" style="5" bestFit="1" customWidth="1"/>
    <col min="5639" max="5639" width="35.88671875" style="5" customWidth="1"/>
    <col min="5640" max="5640" width="14.6640625" style="5" customWidth="1"/>
    <col min="5641" max="5641" width="9.109375" style="5"/>
    <col min="5642" max="5642" width="44.109375" style="5" customWidth="1"/>
    <col min="5643" max="5643" width="9.109375" style="5"/>
    <col min="5644" max="5644" width="41.109375" style="5" customWidth="1"/>
    <col min="5645" max="5879" width="9.109375" style="5"/>
    <col min="5880" max="5880" width="2.109375" style="5" customWidth="1"/>
    <col min="5881" max="5881" width="51.44140625" style="5" customWidth="1"/>
    <col min="5882" max="5883" width="5" style="5" customWidth="1"/>
    <col min="5884" max="5893" width="2.44140625" style="5" customWidth="1"/>
    <col min="5894" max="5894" width="6.6640625" style="5" bestFit="1" customWidth="1"/>
    <col min="5895" max="5895" width="35.88671875" style="5" customWidth="1"/>
    <col min="5896" max="5896" width="14.6640625" style="5" customWidth="1"/>
    <col min="5897" max="5897" width="9.109375" style="5"/>
    <col min="5898" max="5898" width="44.109375" style="5" customWidth="1"/>
    <col min="5899" max="5899" width="9.109375" style="5"/>
    <col min="5900" max="5900" width="41.109375" style="5" customWidth="1"/>
    <col min="5901" max="6135" width="9.109375" style="5"/>
    <col min="6136" max="6136" width="2.109375" style="5" customWidth="1"/>
    <col min="6137" max="6137" width="51.44140625" style="5" customWidth="1"/>
    <col min="6138" max="6139" width="5" style="5" customWidth="1"/>
    <col min="6140" max="6149" width="2.44140625" style="5" customWidth="1"/>
    <col min="6150" max="6150" width="6.6640625" style="5" bestFit="1" customWidth="1"/>
    <col min="6151" max="6151" width="35.88671875" style="5" customWidth="1"/>
    <col min="6152" max="6152" width="14.6640625" style="5" customWidth="1"/>
    <col min="6153" max="6153" width="9.109375" style="5"/>
    <col min="6154" max="6154" width="44.109375" style="5" customWidth="1"/>
    <col min="6155" max="6155" width="9.109375" style="5"/>
    <col min="6156" max="6156" width="41.109375" style="5" customWidth="1"/>
    <col min="6157" max="6391" width="9.109375" style="5"/>
    <col min="6392" max="6392" width="2.109375" style="5" customWidth="1"/>
    <col min="6393" max="6393" width="51.44140625" style="5" customWidth="1"/>
    <col min="6394" max="6395" width="5" style="5" customWidth="1"/>
    <col min="6396" max="6405" width="2.44140625" style="5" customWidth="1"/>
    <col min="6406" max="6406" width="6.6640625" style="5" bestFit="1" customWidth="1"/>
    <col min="6407" max="6407" width="35.88671875" style="5" customWidth="1"/>
    <col min="6408" max="6408" width="14.6640625" style="5" customWidth="1"/>
    <col min="6409" max="6409" width="9.109375" style="5"/>
    <col min="6410" max="6410" width="44.109375" style="5" customWidth="1"/>
    <col min="6411" max="6411" width="9.109375" style="5"/>
    <col min="6412" max="6412" width="41.109375" style="5" customWidth="1"/>
    <col min="6413" max="6647" width="9.109375" style="5"/>
    <col min="6648" max="6648" width="2.109375" style="5" customWidth="1"/>
    <col min="6649" max="6649" width="51.44140625" style="5" customWidth="1"/>
    <col min="6650" max="6651" width="5" style="5" customWidth="1"/>
    <col min="6652" max="6661" width="2.44140625" style="5" customWidth="1"/>
    <col min="6662" max="6662" width="6.6640625" style="5" bestFit="1" customWidth="1"/>
    <col min="6663" max="6663" width="35.88671875" style="5" customWidth="1"/>
    <col min="6664" max="6664" width="14.6640625" style="5" customWidth="1"/>
    <col min="6665" max="6665" width="9.109375" style="5"/>
    <col min="6666" max="6666" width="44.109375" style="5" customWidth="1"/>
    <col min="6667" max="6667" width="9.109375" style="5"/>
    <col min="6668" max="6668" width="41.109375" style="5" customWidth="1"/>
    <col min="6669" max="6903" width="9.109375" style="5"/>
    <col min="6904" max="6904" width="2.109375" style="5" customWidth="1"/>
    <col min="6905" max="6905" width="51.44140625" style="5" customWidth="1"/>
    <col min="6906" max="6907" width="5" style="5" customWidth="1"/>
    <col min="6908" max="6917" width="2.44140625" style="5" customWidth="1"/>
    <col min="6918" max="6918" width="6.6640625" style="5" bestFit="1" customWidth="1"/>
    <col min="6919" max="6919" width="35.88671875" style="5" customWidth="1"/>
    <col min="6920" max="6920" width="14.6640625" style="5" customWidth="1"/>
    <col min="6921" max="6921" width="9.109375" style="5"/>
    <col min="6922" max="6922" width="44.109375" style="5" customWidth="1"/>
    <col min="6923" max="6923" width="9.109375" style="5"/>
    <col min="6924" max="6924" width="41.109375" style="5" customWidth="1"/>
    <col min="6925" max="7159" width="9.109375" style="5"/>
    <col min="7160" max="7160" width="2.109375" style="5" customWidth="1"/>
    <col min="7161" max="7161" width="51.44140625" style="5" customWidth="1"/>
    <col min="7162" max="7163" width="5" style="5" customWidth="1"/>
    <col min="7164" max="7173" width="2.44140625" style="5" customWidth="1"/>
    <col min="7174" max="7174" width="6.6640625" style="5" bestFit="1" customWidth="1"/>
    <col min="7175" max="7175" width="35.88671875" style="5" customWidth="1"/>
    <col min="7176" max="7176" width="14.6640625" style="5" customWidth="1"/>
    <col min="7177" max="7177" width="9.109375" style="5"/>
    <col min="7178" max="7178" width="44.109375" style="5" customWidth="1"/>
    <col min="7179" max="7179" width="9.109375" style="5"/>
    <col min="7180" max="7180" width="41.109375" style="5" customWidth="1"/>
    <col min="7181" max="7415" width="9.109375" style="5"/>
    <col min="7416" max="7416" width="2.109375" style="5" customWidth="1"/>
    <col min="7417" max="7417" width="51.44140625" style="5" customWidth="1"/>
    <col min="7418" max="7419" width="5" style="5" customWidth="1"/>
    <col min="7420" max="7429" width="2.44140625" style="5" customWidth="1"/>
    <col min="7430" max="7430" width="6.6640625" style="5" bestFit="1" customWidth="1"/>
    <col min="7431" max="7431" width="35.88671875" style="5" customWidth="1"/>
    <col min="7432" max="7432" width="14.6640625" style="5" customWidth="1"/>
    <col min="7433" max="7433" width="9.109375" style="5"/>
    <col min="7434" max="7434" width="44.109375" style="5" customWidth="1"/>
    <col min="7435" max="7435" width="9.109375" style="5"/>
    <col min="7436" max="7436" width="41.109375" style="5" customWidth="1"/>
    <col min="7437" max="7671" width="9.109375" style="5"/>
    <col min="7672" max="7672" width="2.109375" style="5" customWidth="1"/>
    <col min="7673" max="7673" width="51.44140625" style="5" customWidth="1"/>
    <col min="7674" max="7675" width="5" style="5" customWidth="1"/>
    <col min="7676" max="7685" width="2.44140625" style="5" customWidth="1"/>
    <col min="7686" max="7686" width="6.6640625" style="5" bestFit="1" customWidth="1"/>
    <col min="7687" max="7687" width="35.88671875" style="5" customWidth="1"/>
    <col min="7688" max="7688" width="14.6640625" style="5" customWidth="1"/>
    <col min="7689" max="7689" width="9.109375" style="5"/>
    <col min="7690" max="7690" width="44.109375" style="5" customWidth="1"/>
    <col min="7691" max="7691" width="9.109375" style="5"/>
    <col min="7692" max="7692" width="41.109375" style="5" customWidth="1"/>
    <col min="7693" max="7927" width="9.109375" style="5"/>
    <col min="7928" max="7928" width="2.109375" style="5" customWidth="1"/>
    <col min="7929" max="7929" width="51.44140625" style="5" customWidth="1"/>
    <col min="7930" max="7931" width="5" style="5" customWidth="1"/>
    <col min="7932" max="7941" width="2.44140625" style="5" customWidth="1"/>
    <col min="7942" max="7942" width="6.6640625" style="5" bestFit="1" customWidth="1"/>
    <col min="7943" max="7943" width="35.88671875" style="5" customWidth="1"/>
    <col min="7944" max="7944" width="14.6640625" style="5" customWidth="1"/>
    <col min="7945" max="7945" width="9.109375" style="5"/>
    <col min="7946" max="7946" width="44.109375" style="5" customWidth="1"/>
    <col min="7947" max="7947" width="9.109375" style="5"/>
    <col min="7948" max="7948" width="41.109375" style="5" customWidth="1"/>
    <col min="7949" max="8183" width="9.109375" style="5"/>
    <col min="8184" max="8184" width="2.109375" style="5" customWidth="1"/>
    <col min="8185" max="8185" width="51.44140625" style="5" customWidth="1"/>
    <col min="8186" max="8187" width="5" style="5" customWidth="1"/>
    <col min="8188" max="8197" width="2.44140625" style="5" customWidth="1"/>
    <col min="8198" max="8198" width="6.6640625" style="5" bestFit="1" customWidth="1"/>
    <col min="8199" max="8199" width="35.88671875" style="5" customWidth="1"/>
    <col min="8200" max="8200" width="14.6640625" style="5" customWidth="1"/>
    <col min="8201" max="8201" width="9.109375" style="5"/>
    <col min="8202" max="8202" width="44.109375" style="5" customWidth="1"/>
    <col min="8203" max="8203" width="9.109375" style="5"/>
    <col min="8204" max="8204" width="41.109375" style="5" customWidth="1"/>
    <col min="8205" max="8439" width="9.109375" style="5"/>
    <col min="8440" max="8440" width="2.109375" style="5" customWidth="1"/>
    <col min="8441" max="8441" width="51.44140625" style="5" customWidth="1"/>
    <col min="8442" max="8443" width="5" style="5" customWidth="1"/>
    <col min="8444" max="8453" width="2.44140625" style="5" customWidth="1"/>
    <col min="8454" max="8454" width="6.6640625" style="5" bestFit="1" customWidth="1"/>
    <col min="8455" max="8455" width="35.88671875" style="5" customWidth="1"/>
    <col min="8456" max="8456" width="14.6640625" style="5" customWidth="1"/>
    <col min="8457" max="8457" width="9.109375" style="5"/>
    <col min="8458" max="8458" width="44.109375" style="5" customWidth="1"/>
    <col min="8459" max="8459" width="9.109375" style="5"/>
    <col min="8460" max="8460" width="41.109375" style="5" customWidth="1"/>
    <col min="8461" max="8695" width="9.109375" style="5"/>
    <col min="8696" max="8696" width="2.109375" style="5" customWidth="1"/>
    <col min="8697" max="8697" width="51.44140625" style="5" customWidth="1"/>
    <col min="8698" max="8699" width="5" style="5" customWidth="1"/>
    <col min="8700" max="8709" width="2.44140625" style="5" customWidth="1"/>
    <col min="8710" max="8710" width="6.6640625" style="5" bestFit="1" customWidth="1"/>
    <col min="8711" max="8711" width="35.88671875" style="5" customWidth="1"/>
    <col min="8712" max="8712" width="14.6640625" style="5" customWidth="1"/>
    <col min="8713" max="8713" width="9.109375" style="5"/>
    <col min="8714" max="8714" width="44.109375" style="5" customWidth="1"/>
    <col min="8715" max="8715" width="9.109375" style="5"/>
    <col min="8716" max="8716" width="41.109375" style="5" customWidth="1"/>
    <col min="8717" max="8951" width="9.109375" style="5"/>
    <col min="8952" max="8952" width="2.109375" style="5" customWidth="1"/>
    <col min="8953" max="8953" width="51.44140625" style="5" customWidth="1"/>
    <col min="8954" max="8955" width="5" style="5" customWidth="1"/>
    <col min="8956" max="8965" width="2.44140625" style="5" customWidth="1"/>
    <col min="8966" max="8966" width="6.6640625" style="5" bestFit="1" customWidth="1"/>
    <col min="8967" max="8967" width="35.88671875" style="5" customWidth="1"/>
    <col min="8968" max="8968" width="14.6640625" style="5" customWidth="1"/>
    <col min="8969" max="8969" width="9.109375" style="5"/>
    <col min="8970" max="8970" width="44.109375" style="5" customWidth="1"/>
    <col min="8971" max="8971" width="9.109375" style="5"/>
    <col min="8972" max="8972" width="41.109375" style="5" customWidth="1"/>
    <col min="8973" max="9207" width="9.109375" style="5"/>
    <col min="9208" max="9208" width="2.109375" style="5" customWidth="1"/>
    <col min="9209" max="9209" width="51.44140625" style="5" customWidth="1"/>
    <col min="9210" max="9211" width="5" style="5" customWidth="1"/>
    <col min="9212" max="9221" width="2.44140625" style="5" customWidth="1"/>
    <col min="9222" max="9222" width="6.6640625" style="5" bestFit="1" customWidth="1"/>
    <col min="9223" max="9223" width="35.88671875" style="5" customWidth="1"/>
    <col min="9224" max="9224" width="14.6640625" style="5" customWidth="1"/>
    <col min="9225" max="9225" width="9.109375" style="5"/>
    <col min="9226" max="9226" width="44.109375" style="5" customWidth="1"/>
    <col min="9227" max="9227" width="9.109375" style="5"/>
    <col min="9228" max="9228" width="41.109375" style="5" customWidth="1"/>
    <col min="9229" max="9463" width="9.109375" style="5"/>
    <col min="9464" max="9464" width="2.109375" style="5" customWidth="1"/>
    <col min="9465" max="9465" width="51.44140625" style="5" customWidth="1"/>
    <col min="9466" max="9467" width="5" style="5" customWidth="1"/>
    <col min="9468" max="9477" width="2.44140625" style="5" customWidth="1"/>
    <col min="9478" max="9478" width="6.6640625" style="5" bestFit="1" customWidth="1"/>
    <col min="9479" max="9479" width="35.88671875" style="5" customWidth="1"/>
    <col min="9480" max="9480" width="14.6640625" style="5" customWidth="1"/>
    <col min="9481" max="9481" width="9.109375" style="5"/>
    <col min="9482" max="9482" width="44.109375" style="5" customWidth="1"/>
    <col min="9483" max="9483" width="9.109375" style="5"/>
    <col min="9484" max="9484" width="41.109375" style="5" customWidth="1"/>
    <col min="9485" max="9719" width="9.109375" style="5"/>
    <col min="9720" max="9720" width="2.109375" style="5" customWidth="1"/>
    <col min="9721" max="9721" width="51.44140625" style="5" customWidth="1"/>
    <col min="9722" max="9723" width="5" style="5" customWidth="1"/>
    <col min="9724" max="9733" width="2.44140625" style="5" customWidth="1"/>
    <col min="9734" max="9734" width="6.6640625" style="5" bestFit="1" customWidth="1"/>
    <col min="9735" max="9735" width="35.88671875" style="5" customWidth="1"/>
    <col min="9736" max="9736" width="14.6640625" style="5" customWidth="1"/>
    <col min="9737" max="9737" width="9.109375" style="5"/>
    <col min="9738" max="9738" width="44.109375" style="5" customWidth="1"/>
    <col min="9739" max="9739" width="9.109375" style="5"/>
    <col min="9740" max="9740" width="41.109375" style="5" customWidth="1"/>
    <col min="9741" max="9975" width="9.109375" style="5"/>
    <col min="9976" max="9976" width="2.109375" style="5" customWidth="1"/>
    <col min="9977" max="9977" width="51.44140625" style="5" customWidth="1"/>
    <col min="9978" max="9979" width="5" style="5" customWidth="1"/>
    <col min="9980" max="9989" width="2.44140625" style="5" customWidth="1"/>
    <col min="9990" max="9990" width="6.6640625" style="5" bestFit="1" customWidth="1"/>
    <col min="9991" max="9991" width="35.88671875" style="5" customWidth="1"/>
    <col min="9992" max="9992" width="14.6640625" style="5" customWidth="1"/>
    <col min="9993" max="9993" width="9.109375" style="5"/>
    <col min="9994" max="9994" width="44.109375" style="5" customWidth="1"/>
    <col min="9995" max="9995" width="9.109375" style="5"/>
    <col min="9996" max="9996" width="41.109375" style="5" customWidth="1"/>
    <col min="9997" max="10231" width="9.109375" style="5"/>
    <col min="10232" max="10232" width="2.109375" style="5" customWidth="1"/>
    <col min="10233" max="10233" width="51.44140625" style="5" customWidth="1"/>
    <col min="10234" max="10235" width="5" style="5" customWidth="1"/>
    <col min="10236" max="10245" width="2.44140625" style="5" customWidth="1"/>
    <col min="10246" max="10246" width="6.6640625" style="5" bestFit="1" customWidth="1"/>
    <col min="10247" max="10247" width="35.88671875" style="5" customWidth="1"/>
    <col min="10248" max="10248" width="14.6640625" style="5" customWidth="1"/>
    <col min="10249" max="10249" width="9.109375" style="5"/>
    <col min="10250" max="10250" width="44.109375" style="5" customWidth="1"/>
    <col min="10251" max="10251" width="9.109375" style="5"/>
    <col min="10252" max="10252" width="41.109375" style="5" customWidth="1"/>
    <col min="10253" max="10487" width="9.109375" style="5"/>
    <col min="10488" max="10488" width="2.109375" style="5" customWidth="1"/>
    <col min="10489" max="10489" width="51.44140625" style="5" customWidth="1"/>
    <col min="10490" max="10491" width="5" style="5" customWidth="1"/>
    <col min="10492" max="10501" width="2.44140625" style="5" customWidth="1"/>
    <col min="10502" max="10502" width="6.6640625" style="5" bestFit="1" customWidth="1"/>
    <col min="10503" max="10503" width="35.88671875" style="5" customWidth="1"/>
    <col min="10504" max="10504" width="14.6640625" style="5" customWidth="1"/>
    <col min="10505" max="10505" width="9.109375" style="5"/>
    <col min="10506" max="10506" width="44.109375" style="5" customWidth="1"/>
    <col min="10507" max="10507" width="9.109375" style="5"/>
    <col min="10508" max="10508" width="41.109375" style="5" customWidth="1"/>
    <col min="10509" max="10743" width="9.109375" style="5"/>
    <col min="10744" max="10744" width="2.109375" style="5" customWidth="1"/>
    <col min="10745" max="10745" width="51.44140625" style="5" customWidth="1"/>
    <col min="10746" max="10747" width="5" style="5" customWidth="1"/>
    <col min="10748" max="10757" width="2.44140625" style="5" customWidth="1"/>
    <col min="10758" max="10758" width="6.6640625" style="5" bestFit="1" customWidth="1"/>
    <col min="10759" max="10759" width="35.88671875" style="5" customWidth="1"/>
    <col min="10760" max="10760" width="14.6640625" style="5" customWidth="1"/>
    <col min="10761" max="10761" width="9.109375" style="5"/>
    <col min="10762" max="10762" width="44.109375" style="5" customWidth="1"/>
    <col min="10763" max="10763" width="9.109375" style="5"/>
    <col min="10764" max="10764" width="41.109375" style="5" customWidth="1"/>
    <col min="10765" max="10999" width="9.109375" style="5"/>
    <col min="11000" max="11000" width="2.109375" style="5" customWidth="1"/>
    <col min="11001" max="11001" width="51.44140625" style="5" customWidth="1"/>
    <col min="11002" max="11003" width="5" style="5" customWidth="1"/>
    <col min="11004" max="11013" width="2.44140625" style="5" customWidth="1"/>
    <col min="11014" max="11014" width="6.6640625" style="5" bestFit="1" customWidth="1"/>
    <col min="11015" max="11015" width="35.88671875" style="5" customWidth="1"/>
    <col min="11016" max="11016" width="14.6640625" style="5" customWidth="1"/>
    <col min="11017" max="11017" width="9.109375" style="5"/>
    <col min="11018" max="11018" width="44.109375" style="5" customWidth="1"/>
    <col min="11019" max="11019" width="9.109375" style="5"/>
    <col min="11020" max="11020" width="41.109375" style="5" customWidth="1"/>
    <col min="11021" max="11255" width="9.109375" style="5"/>
    <col min="11256" max="11256" width="2.109375" style="5" customWidth="1"/>
    <col min="11257" max="11257" width="51.44140625" style="5" customWidth="1"/>
    <col min="11258" max="11259" width="5" style="5" customWidth="1"/>
    <col min="11260" max="11269" width="2.44140625" style="5" customWidth="1"/>
    <col min="11270" max="11270" width="6.6640625" style="5" bestFit="1" customWidth="1"/>
    <col min="11271" max="11271" width="35.88671875" style="5" customWidth="1"/>
    <col min="11272" max="11272" width="14.6640625" style="5" customWidth="1"/>
    <col min="11273" max="11273" width="9.109375" style="5"/>
    <col min="11274" max="11274" width="44.109375" style="5" customWidth="1"/>
    <col min="11275" max="11275" width="9.109375" style="5"/>
    <col min="11276" max="11276" width="41.109375" style="5" customWidth="1"/>
    <col min="11277" max="11511" width="9.109375" style="5"/>
    <col min="11512" max="11512" width="2.109375" style="5" customWidth="1"/>
    <col min="11513" max="11513" width="51.44140625" style="5" customWidth="1"/>
    <col min="11514" max="11515" width="5" style="5" customWidth="1"/>
    <col min="11516" max="11525" width="2.44140625" style="5" customWidth="1"/>
    <col min="11526" max="11526" width="6.6640625" style="5" bestFit="1" customWidth="1"/>
    <col min="11527" max="11527" width="35.88671875" style="5" customWidth="1"/>
    <col min="11528" max="11528" width="14.6640625" style="5" customWidth="1"/>
    <col min="11529" max="11529" width="9.109375" style="5"/>
    <col min="11530" max="11530" width="44.109375" style="5" customWidth="1"/>
    <col min="11531" max="11531" width="9.109375" style="5"/>
    <col min="11532" max="11532" width="41.109375" style="5" customWidth="1"/>
    <col min="11533" max="11767" width="9.109375" style="5"/>
    <col min="11768" max="11768" width="2.109375" style="5" customWidth="1"/>
    <col min="11769" max="11769" width="51.44140625" style="5" customWidth="1"/>
    <col min="11770" max="11771" width="5" style="5" customWidth="1"/>
    <col min="11772" max="11781" width="2.44140625" style="5" customWidth="1"/>
    <col min="11782" max="11782" width="6.6640625" style="5" bestFit="1" customWidth="1"/>
    <col min="11783" max="11783" width="35.88671875" style="5" customWidth="1"/>
    <col min="11784" max="11784" width="14.6640625" style="5" customWidth="1"/>
    <col min="11785" max="11785" width="9.109375" style="5"/>
    <col min="11786" max="11786" width="44.109375" style="5" customWidth="1"/>
    <col min="11787" max="11787" width="9.109375" style="5"/>
    <col min="11788" max="11788" width="41.109375" style="5" customWidth="1"/>
    <col min="11789" max="12023" width="9.109375" style="5"/>
    <col min="12024" max="12024" width="2.109375" style="5" customWidth="1"/>
    <col min="12025" max="12025" width="51.44140625" style="5" customWidth="1"/>
    <col min="12026" max="12027" width="5" style="5" customWidth="1"/>
    <col min="12028" max="12037" width="2.44140625" style="5" customWidth="1"/>
    <col min="12038" max="12038" width="6.6640625" style="5" bestFit="1" customWidth="1"/>
    <col min="12039" max="12039" width="35.88671875" style="5" customWidth="1"/>
    <col min="12040" max="12040" width="14.6640625" style="5" customWidth="1"/>
    <col min="12041" max="12041" width="9.109375" style="5"/>
    <col min="12042" max="12042" width="44.109375" style="5" customWidth="1"/>
    <col min="12043" max="12043" width="9.109375" style="5"/>
    <col min="12044" max="12044" width="41.109375" style="5" customWidth="1"/>
    <col min="12045" max="12279" width="9.109375" style="5"/>
    <col min="12280" max="12280" width="2.109375" style="5" customWidth="1"/>
    <col min="12281" max="12281" width="51.44140625" style="5" customWidth="1"/>
    <col min="12282" max="12283" width="5" style="5" customWidth="1"/>
    <col min="12284" max="12293" width="2.44140625" style="5" customWidth="1"/>
    <col min="12294" max="12294" width="6.6640625" style="5" bestFit="1" customWidth="1"/>
    <col min="12295" max="12295" width="35.88671875" style="5" customWidth="1"/>
    <col min="12296" max="12296" width="14.6640625" style="5" customWidth="1"/>
    <col min="12297" max="12297" width="9.109375" style="5"/>
    <col min="12298" max="12298" width="44.109375" style="5" customWidth="1"/>
    <col min="12299" max="12299" width="9.109375" style="5"/>
    <col min="12300" max="12300" width="41.109375" style="5" customWidth="1"/>
    <col min="12301" max="12535" width="9.109375" style="5"/>
    <col min="12536" max="12536" width="2.109375" style="5" customWidth="1"/>
    <col min="12537" max="12537" width="51.44140625" style="5" customWidth="1"/>
    <col min="12538" max="12539" width="5" style="5" customWidth="1"/>
    <col min="12540" max="12549" width="2.44140625" style="5" customWidth="1"/>
    <col min="12550" max="12550" width="6.6640625" style="5" bestFit="1" customWidth="1"/>
    <col min="12551" max="12551" width="35.88671875" style="5" customWidth="1"/>
    <col min="12552" max="12552" width="14.6640625" style="5" customWidth="1"/>
    <col min="12553" max="12553" width="9.109375" style="5"/>
    <col min="12554" max="12554" width="44.109375" style="5" customWidth="1"/>
    <col min="12555" max="12555" width="9.109375" style="5"/>
    <col min="12556" max="12556" width="41.109375" style="5" customWidth="1"/>
    <col min="12557" max="12791" width="9.109375" style="5"/>
    <col min="12792" max="12792" width="2.109375" style="5" customWidth="1"/>
    <col min="12793" max="12793" width="51.44140625" style="5" customWidth="1"/>
    <col min="12794" max="12795" width="5" style="5" customWidth="1"/>
    <col min="12796" max="12805" width="2.44140625" style="5" customWidth="1"/>
    <col min="12806" max="12806" width="6.6640625" style="5" bestFit="1" customWidth="1"/>
    <col min="12807" max="12807" width="35.88671875" style="5" customWidth="1"/>
    <col min="12808" max="12808" width="14.6640625" style="5" customWidth="1"/>
    <col min="12809" max="12809" width="9.109375" style="5"/>
    <col min="12810" max="12810" width="44.109375" style="5" customWidth="1"/>
    <col min="12811" max="12811" width="9.109375" style="5"/>
    <col min="12812" max="12812" width="41.109375" style="5" customWidth="1"/>
    <col min="12813" max="13047" width="9.109375" style="5"/>
    <col min="13048" max="13048" width="2.109375" style="5" customWidth="1"/>
    <col min="13049" max="13049" width="51.44140625" style="5" customWidth="1"/>
    <col min="13050" max="13051" width="5" style="5" customWidth="1"/>
    <col min="13052" max="13061" width="2.44140625" style="5" customWidth="1"/>
    <col min="13062" max="13062" width="6.6640625" style="5" bestFit="1" customWidth="1"/>
    <col min="13063" max="13063" width="35.88671875" style="5" customWidth="1"/>
    <col min="13064" max="13064" width="14.6640625" style="5" customWidth="1"/>
    <col min="13065" max="13065" width="9.109375" style="5"/>
    <col min="13066" max="13066" width="44.109375" style="5" customWidth="1"/>
    <col min="13067" max="13067" width="9.109375" style="5"/>
    <col min="13068" max="13068" width="41.109375" style="5" customWidth="1"/>
    <col min="13069" max="13303" width="9.109375" style="5"/>
    <col min="13304" max="13304" width="2.109375" style="5" customWidth="1"/>
    <col min="13305" max="13305" width="51.44140625" style="5" customWidth="1"/>
    <col min="13306" max="13307" width="5" style="5" customWidth="1"/>
    <col min="13308" max="13317" width="2.44140625" style="5" customWidth="1"/>
    <col min="13318" max="13318" width="6.6640625" style="5" bestFit="1" customWidth="1"/>
    <col min="13319" max="13319" width="35.88671875" style="5" customWidth="1"/>
    <col min="13320" max="13320" width="14.6640625" style="5" customWidth="1"/>
    <col min="13321" max="13321" width="9.109375" style="5"/>
    <col min="13322" max="13322" width="44.109375" style="5" customWidth="1"/>
    <col min="13323" max="13323" width="9.109375" style="5"/>
    <col min="13324" max="13324" width="41.109375" style="5" customWidth="1"/>
    <col min="13325" max="13559" width="9.109375" style="5"/>
    <col min="13560" max="13560" width="2.109375" style="5" customWidth="1"/>
    <col min="13561" max="13561" width="51.44140625" style="5" customWidth="1"/>
    <col min="13562" max="13563" width="5" style="5" customWidth="1"/>
    <col min="13564" max="13573" width="2.44140625" style="5" customWidth="1"/>
    <col min="13574" max="13574" width="6.6640625" style="5" bestFit="1" customWidth="1"/>
    <col min="13575" max="13575" width="35.88671875" style="5" customWidth="1"/>
    <col min="13576" max="13576" width="14.6640625" style="5" customWidth="1"/>
    <col min="13577" max="13577" width="9.109375" style="5"/>
    <col min="13578" max="13578" width="44.109375" style="5" customWidth="1"/>
    <col min="13579" max="13579" width="9.109375" style="5"/>
    <col min="13580" max="13580" width="41.109375" style="5" customWidth="1"/>
    <col min="13581" max="13815" width="9.109375" style="5"/>
    <col min="13816" max="13816" width="2.109375" style="5" customWidth="1"/>
    <col min="13817" max="13817" width="51.44140625" style="5" customWidth="1"/>
    <col min="13818" max="13819" width="5" style="5" customWidth="1"/>
    <col min="13820" max="13829" width="2.44140625" style="5" customWidth="1"/>
    <col min="13830" max="13830" width="6.6640625" style="5" bestFit="1" customWidth="1"/>
    <col min="13831" max="13831" width="35.88671875" style="5" customWidth="1"/>
    <col min="13832" max="13832" width="14.6640625" style="5" customWidth="1"/>
    <col min="13833" max="13833" width="9.109375" style="5"/>
    <col min="13834" max="13834" width="44.109375" style="5" customWidth="1"/>
    <col min="13835" max="13835" width="9.109375" style="5"/>
    <col min="13836" max="13836" width="41.109375" style="5" customWidth="1"/>
    <col min="13837" max="14071" width="9.109375" style="5"/>
    <col min="14072" max="14072" width="2.109375" style="5" customWidth="1"/>
    <col min="14073" max="14073" width="51.44140625" style="5" customWidth="1"/>
    <col min="14074" max="14075" width="5" style="5" customWidth="1"/>
    <col min="14076" max="14085" width="2.44140625" style="5" customWidth="1"/>
    <col min="14086" max="14086" width="6.6640625" style="5" bestFit="1" customWidth="1"/>
    <col min="14087" max="14087" width="35.88671875" style="5" customWidth="1"/>
    <col min="14088" max="14088" width="14.6640625" style="5" customWidth="1"/>
    <col min="14089" max="14089" width="9.109375" style="5"/>
    <col min="14090" max="14090" width="44.109375" style="5" customWidth="1"/>
    <col min="14091" max="14091" width="9.109375" style="5"/>
    <col min="14092" max="14092" width="41.109375" style="5" customWidth="1"/>
    <col min="14093" max="14327" width="9.109375" style="5"/>
    <col min="14328" max="14328" width="2.109375" style="5" customWidth="1"/>
    <col min="14329" max="14329" width="51.44140625" style="5" customWidth="1"/>
    <col min="14330" max="14331" width="5" style="5" customWidth="1"/>
    <col min="14332" max="14341" width="2.44140625" style="5" customWidth="1"/>
    <col min="14342" max="14342" width="6.6640625" style="5" bestFit="1" customWidth="1"/>
    <col min="14343" max="14343" width="35.88671875" style="5" customWidth="1"/>
    <col min="14344" max="14344" width="14.6640625" style="5" customWidth="1"/>
    <col min="14345" max="14345" width="9.109375" style="5"/>
    <col min="14346" max="14346" width="44.109375" style="5" customWidth="1"/>
    <col min="14347" max="14347" width="9.109375" style="5"/>
    <col min="14348" max="14348" width="41.109375" style="5" customWidth="1"/>
    <col min="14349" max="14583" width="9.109375" style="5"/>
    <col min="14584" max="14584" width="2.109375" style="5" customWidth="1"/>
    <col min="14585" max="14585" width="51.44140625" style="5" customWidth="1"/>
    <col min="14586" max="14587" width="5" style="5" customWidth="1"/>
    <col min="14588" max="14597" width="2.44140625" style="5" customWidth="1"/>
    <col min="14598" max="14598" width="6.6640625" style="5" bestFit="1" customWidth="1"/>
    <col min="14599" max="14599" width="35.88671875" style="5" customWidth="1"/>
    <col min="14600" max="14600" width="14.6640625" style="5" customWidth="1"/>
    <col min="14601" max="14601" width="9.109375" style="5"/>
    <col min="14602" max="14602" width="44.109375" style="5" customWidth="1"/>
    <col min="14603" max="14603" width="9.109375" style="5"/>
    <col min="14604" max="14604" width="41.109375" style="5" customWidth="1"/>
    <col min="14605" max="14839" width="9.109375" style="5"/>
    <col min="14840" max="14840" width="2.109375" style="5" customWidth="1"/>
    <col min="14841" max="14841" width="51.44140625" style="5" customWidth="1"/>
    <col min="14842" max="14843" width="5" style="5" customWidth="1"/>
    <col min="14844" max="14853" width="2.44140625" style="5" customWidth="1"/>
    <col min="14854" max="14854" width="6.6640625" style="5" bestFit="1" customWidth="1"/>
    <col min="14855" max="14855" width="35.88671875" style="5" customWidth="1"/>
    <col min="14856" max="14856" width="14.6640625" style="5" customWidth="1"/>
    <col min="14857" max="14857" width="9.109375" style="5"/>
    <col min="14858" max="14858" width="44.109375" style="5" customWidth="1"/>
    <col min="14859" max="14859" width="9.109375" style="5"/>
    <col min="14860" max="14860" width="41.109375" style="5" customWidth="1"/>
    <col min="14861" max="15095" width="9.109375" style="5"/>
    <col min="15096" max="15096" width="2.109375" style="5" customWidth="1"/>
    <col min="15097" max="15097" width="51.44140625" style="5" customWidth="1"/>
    <col min="15098" max="15099" width="5" style="5" customWidth="1"/>
    <col min="15100" max="15109" width="2.44140625" style="5" customWidth="1"/>
    <col min="15110" max="15110" width="6.6640625" style="5" bestFit="1" customWidth="1"/>
    <col min="15111" max="15111" width="35.88671875" style="5" customWidth="1"/>
    <col min="15112" max="15112" width="14.6640625" style="5" customWidth="1"/>
    <col min="15113" max="15113" width="9.109375" style="5"/>
    <col min="15114" max="15114" width="44.109375" style="5" customWidth="1"/>
    <col min="15115" max="15115" width="9.109375" style="5"/>
    <col min="15116" max="15116" width="41.109375" style="5" customWidth="1"/>
    <col min="15117" max="15351" width="9.109375" style="5"/>
    <col min="15352" max="15352" width="2.109375" style="5" customWidth="1"/>
    <col min="15353" max="15353" width="51.44140625" style="5" customWidth="1"/>
    <col min="15354" max="15355" width="5" style="5" customWidth="1"/>
    <col min="15356" max="15365" width="2.44140625" style="5" customWidth="1"/>
    <col min="15366" max="15366" width="6.6640625" style="5" bestFit="1" customWidth="1"/>
    <col min="15367" max="15367" width="35.88671875" style="5" customWidth="1"/>
    <col min="15368" max="15368" width="14.6640625" style="5" customWidth="1"/>
    <col min="15369" max="15369" width="9.109375" style="5"/>
    <col min="15370" max="15370" width="44.109375" style="5" customWidth="1"/>
    <col min="15371" max="15371" width="9.109375" style="5"/>
    <col min="15372" max="15372" width="41.109375" style="5" customWidth="1"/>
    <col min="15373" max="15607" width="9.109375" style="5"/>
    <col min="15608" max="15608" width="2.109375" style="5" customWidth="1"/>
    <col min="15609" max="15609" width="51.44140625" style="5" customWidth="1"/>
    <col min="15610" max="15611" width="5" style="5" customWidth="1"/>
    <col min="15612" max="15621" width="2.44140625" style="5" customWidth="1"/>
    <col min="15622" max="15622" width="6.6640625" style="5" bestFit="1" customWidth="1"/>
    <col min="15623" max="15623" width="35.88671875" style="5" customWidth="1"/>
    <col min="15624" max="15624" width="14.6640625" style="5" customWidth="1"/>
    <col min="15625" max="15625" width="9.109375" style="5"/>
    <col min="15626" max="15626" width="44.109375" style="5" customWidth="1"/>
    <col min="15627" max="15627" width="9.109375" style="5"/>
    <col min="15628" max="15628" width="41.109375" style="5" customWidth="1"/>
    <col min="15629" max="15863" width="9.109375" style="5"/>
    <col min="15864" max="15864" width="2.109375" style="5" customWidth="1"/>
    <col min="15865" max="15865" width="51.44140625" style="5" customWidth="1"/>
    <col min="15866" max="15867" width="5" style="5" customWidth="1"/>
    <col min="15868" max="15877" width="2.44140625" style="5" customWidth="1"/>
    <col min="15878" max="15878" width="6.6640625" style="5" bestFit="1" customWidth="1"/>
    <col min="15879" max="15879" width="35.88671875" style="5" customWidth="1"/>
    <col min="15880" max="15880" width="14.6640625" style="5" customWidth="1"/>
    <col min="15881" max="15881" width="9.109375" style="5"/>
    <col min="15882" max="15882" width="44.109375" style="5" customWidth="1"/>
    <col min="15883" max="15883" width="9.109375" style="5"/>
    <col min="15884" max="15884" width="41.109375" style="5" customWidth="1"/>
    <col min="15885" max="16119" width="9.109375" style="5"/>
    <col min="16120" max="16120" width="2.109375" style="5" customWidth="1"/>
    <col min="16121" max="16121" width="51.44140625" style="5" customWidth="1"/>
    <col min="16122" max="16123" width="5" style="5" customWidth="1"/>
    <col min="16124" max="16133" width="2.44140625" style="5" customWidth="1"/>
    <col min="16134" max="16134" width="6.6640625" style="5" bestFit="1" customWidth="1"/>
    <col min="16135" max="16135" width="35.88671875" style="5" customWidth="1"/>
    <col min="16136" max="16136" width="14.6640625" style="5" customWidth="1"/>
    <col min="16137" max="16137" width="9.109375" style="5"/>
    <col min="16138" max="16138" width="44.109375" style="5" customWidth="1"/>
    <col min="16139" max="16139" width="9.109375" style="5"/>
    <col min="16140" max="16140" width="41.109375" style="5" customWidth="1"/>
    <col min="16141" max="16384" width="9.109375" style="5"/>
  </cols>
  <sheetData>
    <row r="1" spans="1:10" ht="11.25" customHeight="1">
      <c r="A1" s="21"/>
      <c r="B1" s="21"/>
      <c r="C1" s="21"/>
      <c r="D1" s="21"/>
      <c r="E1" s="21"/>
      <c r="F1" s="21"/>
      <c r="G1" s="21"/>
      <c r="H1" s="21"/>
      <c r="I1" s="21"/>
      <c r="J1" s="22"/>
    </row>
    <row r="2" spans="1:10" ht="27" customHeight="1">
      <c r="A2" s="21"/>
      <c r="B2" s="224" t="s">
        <v>163</v>
      </c>
      <c r="C2" s="148"/>
      <c r="D2" s="148"/>
      <c r="E2" s="148"/>
      <c r="F2" s="148"/>
      <c r="G2" s="148"/>
      <c r="H2" s="148"/>
      <c r="I2" s="22"/>
      <c r="J2" s="22"/>
    </row>
    <row r="3" spans="1:10" ht="16.5" customHeight="1">
      <c r="A3" s="21"/>
      <c r="B3" s="225" t="s">
        <v>11</v>
      </c>
      <c r="C3" s="148"/>
      <c r="D3" s="25" t="s">
        <v>157</v>
      </c>
      <c r="E3" s="25" t="s">
        <v>158</v>
      </c>
      <c r="F3" s="25" t="s">
        <v>159</v>
      </c>
      <c r="G3" s="226" t="s">
        <v>162</v>
      </c>
      <c r="H3" s="226" t="s">
        <v>12</v>
      </c>
      <c r="I3" s="22"/>
      <c r="J3" s="22"/>
    </row>
    <row r="4" spans="1:10" ht="16.5" customHeight="1">
      <c r="A4" s="21"/>
      <c r="B4" s="148"/>
      <c r="C4" s="148"/>
      <c r="D4" s="25">
        <v>0</v>
      </c>
      <c r="E4" s="51">
        <v>1</v>
      </c>
      <c r="F4" s="25">
        <v>2</v>
      </c>
      <c r="G4" s="226"/>
      <c r="H4" s="226"/>
      <c r="I4" s="22"/>
      <c r="J4" s="22"/>
    </row>
    <row r="5" spans="1:10" ht="26.1" customHeight="1">
      <c r="A5" s="21"/>
      <c r="B5" s="216" t="s">
        <v>171</v>
      </c>
      <c r="C5" s="26" t="s">
        <v>220</v>
      </c>
      <c r="D5" s="27"/>
      <c r="E5" s="27"/>
      <c r="F5" s="27"/>
      <c r="G5" s="28"/>
      <c r="H5" s="28"/>
      <c r="I5" s="22"/>
      <c r="J5" s="22"/>
    </row>
    <row r="6" spans="1:10" ht="26.1" customHeight="1">
      <c r="A6" s="21"/>
      <c r="B6" s="216"/>
      <c r="C6" s="29" t="s">
        <v>219</v>
      </c>
      <c r="D6" s="27"/>
      <c r="E6" s="27">
        <v>1</v>
      </c>
      <c r="F6" s="27"/>
      <c r="G6" s="30" t="s">
        <v>369</v>
      </c>
      <c r="H6" s="28"/>
      <c r="I6" s="22"/>
      <c r="J6" s="22"/>
    </row>
    <row r="7" spans="1:10" ht="26.1" customHeight="1">
      <c r="A7" s="21"/>
      <c r="B7" s="216"/>
      <c r="C7" s="29" t="s">
        <v>160</v>
      </c>
      <c r="D7" s="27"/>
      <c r="E7" s="27"/>
      <c r="F7" s="27"/>
      <c r="G7" s="30"/>
      <c r="H7" s="28"/>
      <c r="I7" s="22"/>
      <c r="J7" s="22"/>
    </row>
    <row r="8" spans="1:10" ht="26.1" customHeight="1">
      <c r="A8" s="21"/>
      <c r="B8" s="216"/>
      <c r="C8" s="29" t="s">
        <v>173</v>
      </c>
      <c r="D8" s="27"/>
      <c r="E8" s="27"/>
      <c r="F8" s="27"/>
      <c r="G8" s="30"/>
      <c r="H8" s="28"/>
      <c r="I8" s="22"/>
      <c r="J8" s="22"/>
    </row>
    <row r="9" spans="1:10" ht="26.1" customHeight="1">
      <c r="A9" s="21"/>
      <c r="B9" s="216"/>
      <c r="C9" s="31" t="s">
        <v>161</v>
      </c>
      <c r="D9" s="27"/>
      <c r="E9" s="27"/>
      <c r="F9" s="27"/>
      <c r="G9" s="32" t="s">
        <v>138</v>
      </c>
      <c r="H9" s="28"/>
      <c r="I9" s="22"/>
      <c r="J9" s="22"/>
    </row>
    <row r="10" spans="1:10" ht="26.1" customHeight="1">
      <c r="A10" s="21"/>
      <c r="B10" s="216"/>
      <c r="C10" s="31" t="s">
        <v>187</v>
      </c>
      <c r="D10" s="27"/>
      <c r="E10" s="27"/>
      <c r="F10" s="27"/>
      <c r="G10" s="32"/>
      <c r="H10" s="28"/>
      <c r="I10" s="22"/>
      <c r="J10" s="22"/>
    </row>
    <row r="11" spans="1:10" ht="26.1" customHeight="1">
      <c r="A11" s="21"/>
      <c r="B11" s="216"/>
      <c r="C11" s="31" t="s">
        <v>221</v>
      </c>
      <c r="D11" s="27"/>
      <c r="E11" s="27"/>
      <c r="F11" s="27"/>
      <c r="G11" s="60"/>
      <c r="H11" s="28"/>
      <c r="I11" s="22"/>
      <c r="J11" s="22"/>
    </row>
    <row r="12" spans="1:10" ht="26.1" customHeight="1">
      <c r="A12" s="21"/>
      <c r="B12" s="148"/>
      <c r="C12" s="34" t="s">
        <v>222</v>
      </c>
      <c r="D12" s="27"/>
      <c r="E12" s="27"/>
      <c r="F12" s="27"/>
      <c r="G12" s="33"/>
      <c r="H12" s="28"/>
      <c r="I12" s="22"/>
      <c r="J12" s="22"/>
    </row>
    <row r="13" spans="1:10" ht="26.1" customHeight="1">
      <c r="A13" s="21"/>
      <c r="B13" s="148"/>
      <c r="C13" s="31" t="s">
        <v>223</v>
      </c>
      <c r="D13" s="27"/>
      <c r="E13" s="27"/>
      <c r="F13" s="27"/>
      <c r="G13" s="33"/>
      <c r="H13" s="28"/>
      <c r="I13" s="22"/>
      <c r="J13" s="22"/>
    </row>
    <row r="14" spans="1:10" ht="26.1" customHeight="1">
      <c r="A14" s="21"/>
      <c r="B14" s="148"/>
      <c r="C14" s="31" t="s">
        <v>210</v>
      </c>
      <c r="D14" s="27"/>
      <c r="E14" s="27"/>
      <c r="F14" s="27">
        <v>2</v>
      </c>
      <c r="G14" s="28" t="s">
        <v>348</v>
      </c>
      <c r="H14" s="28"/>
      <c r="I14" s="22"/>
      <c r="J14" s="22"/>
    </row>
    <row r="15" spans="1:10" ht="26.1" customHeight="1">
      <c r="A15" s="21"/>
      <c r="B15" s="216" t="s">
        <v>172</v>
      </c>
      <c r="C15" s="26" t="s">
        <v>164</v>
      </c>
      <c r="D15" s="27"/>
      <c r="E15" s="27"/>
      <c r="F15" s="27"/>
      <c r="G15" s="30"/>
      <c r="H15" s="28"/>
      <c r="I15" s="22"/>
      <c r="J15" s="22"/>
    </row>
    <row r="16" spans="1:10" ht="26.1" customHeight="1">
      <c r="A16" s="21"/>
      <c r="B16" s="216"/>
      <c r="C16" s="29" t="s">
        <v>165</v>
      </c>
      <c r="D16" s="27"/>
      <c r="E16" s="27">
        <v>1</v>
      </c>
      <c r="F16" s="27"/>
      <c r="G16" s="30" t="s">
        <v>349</v>
      </c>
      <c r="H16" s="28"/>
      <c r="I16" s="22"/>
      <c r="J16" s="22"/>
    </row>
    <row r="17" spans="1:10" ht="26.1" customHeight="1">
      <c r="A17" s="21"/>
      <c r="B17" s="216"/>
      <c r="C17" s="29" t="s">
        <v>166</v>
      </c>
      <c r="D17" s="27"/>
      <c r="E17" s="27"/>
      <c r="F17" s="27"/>
      <c r="G17" s="35"/>
      <c r="H17" s="28"/>
      <c r="I17" s="22"/>
      <c r="J17" s="22"/>
    </row>
    <row r="18" spans="1:10" ht="26.1" customHeight="1">
      <c r="A18" s="21"/>
      <c r="B18" s="216"/>
      <c r="C18" s="29" t="s">
        <v>224</v>
      </c>
      <c r="D18" s="27"/>
      <c r="E18" s="27"/>
      <c r="F18" s="27"/>
      <c r="G18" s="33"/>
      <c r="H18" s="28"/>
      <c r="I18" s="22"/>
      <c r="J18" s="22"/>
    </row>
    <row r="19" spans="1:10" ht="26.1" customHeight="1">
      <c r="A19" s="21"/>
      <c r="B19" s="216"/>
      <c r="C19" s="31" t="s">
        <v>181</v>
      </c>
      <c r="D19" s="27"/>
      <c r="E19" s="27"/>
      <c r="F19" s="27"/>
      <c r="G19" s="33"/>
      <c r="H19" s="28"/>
      <c r="I19" s="22"/>
      <c r="J19" s="22"/>
    </row>
    <row r="20" spans="1:10" ht="26.1" customHeight="1">
      <c r="A20" s="21"/>
      <c r="B20" s="216"/>
      <c r="C20" s="29" t="s">
        <v>225</v>
      </c>
      <c r="D20" s="27"/>
      <c r="E20" s="27"/>
      <c r="F20" s="27"/>
      <c r="G20" s="33"/>
      <c r="H20" s="28"/>
      <c r="I20" s="22"/>
      <c r="J20" s="22"/>
    </row>
    <row r="21" spans="1:10" ht="26.1" customHeight="1">
      <c r="A21" s="21"/>
      <c r="B21" s="216"/>
      <c r="C21" s="34" t="s">
        <v>182</v>
      </c>
      <c r="D21" s="27"/>
      <c r="E21" s="27"/>
      <c r="F21" s="27"/>
      <c r="G21" s="36"/>
      <c r="H21" s="28"/>
      <c r="I21" s="22"/>
      <c r="J21" s="22"/>
    </row>
    <row r="22" spans="1:10" ht="26.1" customHeight="1">
      <c r="A22" s="21"/>
      <c r="B22" s="148"/>
      <c r="C22" s="34" t="s">
        <v>183</v>
      </c>
      <c r="D22" s="27"/>
      <c r="E22" s="27"/>
      <c r="F22" s="27"/>
      <c r="G22" s="36"/>
      <c r="H22" s="28"/>
      <c r="I22" s="22"/>
      <c r="J22" s="22"/>
    </row>
    <row r="23" spans="1:10" ht="26.1" customHeight="1">
      <c r="A23" s="21"/>
      <c r="B23" s="216" t="s">
        <v>184</v>
      </c>
      <c r="C23" s="26" t="s">
        <v>230</v>
      </c>
      <c r="D23" s="27"/>
      <c r="E23" s="27"/>
      <c r="F23" s="27"/>
      <c r="G23" s="33"/>
      <c r="H23" s="28"/>
      <c r="I23" s="22"/>
      <c r="J23" s="22"/>
    </row>
    <row r="24" spans="1:10" ht="26.1" customHeight="1">
      <c r="A24" s="21"/>
      <c r="B24" s="216"/>
      <c r="C24" s="29" t="s">
        <v>139</v>
      </c>
      <c r="D24" s="27"/>
      <c r="E24" s="27"/>
      <c r="F24" s="27"/>
      <c r="G24" s="33"/>
      <c r="H24" s="28"/>
      <c r="I24" s="22"/>
      <c r="J24" s="22"/>
    </row>
    <row r="25" spans="1:10" ht="26.1" customHeight="1">
      <c r="A25" s="21"/>
      <c r="B25" s="216"/>
      <c r="C25" s="26" t="s">
        <v>226</v>
      </c>
      <c r="D25" s="27"/>
      <c r="E25" s="27"/>
      <c r="F25" s="27">
        <v>2</v>
      </c>
      <c r="G25" s="58" t="s">
        <v>368</v>
      </c>
      <c r="H25" s="28"/>
      <c r="I25" s="22"/>
      <c r="J25" s="22"/>
    </row>
    <row r="26" spans="1:10" ht="26.1" customHeight="1">
      <c r="A26" s="21"/>
      <c r="B26" s="216"/>
      <c r="C26" s="26" t="s">
        <v>227</v>
      </c>
      <c r="D26" s="27"/>
      <c r="E26" s="27"/>
      <c r="F26" s="27"/>
      <c r="G26" s="37"/>
      <c r="H26" s="28"/>
      <c r="I26" s="22"/>
      <c r="J26" s="22"/>
    </row>
    <row r="27" spans="1:10" ht="26.1" customHeight="1">
      <c r="A27" s="21"/>
      <c r="B27" s="216"/>
      <c r="C27" s="26" t="s">
        <v>228</v>
      </c>
      <c r="D27" s="27"/>
      <c r="E27" s="27"/>
      <c r="F27" s="27"/>
      <c r="G27" s="37"/>
      <c r="H27" s="28"/>
      <c r="I27" s="22"/>
      <c r="J27" s="22"/>
    </row>
    <row r="28" spans="1:10" ht="26.1" customHeight="1">
      <c r="A28" s="21"/>
      <c r="B28" s="216"/>
      <c r="C28" s="26" t="s">
        <v>185</v>
      </c>
      <c r="D28" s="27"/>
      <c r="E28" s="27"/>
      <c r="F28" s="27"/>
      <c r="G28" s="33"/>
      <c r="H28" s="28"/>
      <c r="I28" s="22"/>
      <c r="J28" s="22"/>
    </row>
    <row r="29" spans="1:10" ht="26.1" customHeight="1">
      <c r="A29" s="21"/>
      <c r="B29" s="216" t="s">
        <v>174</v>
      </c>
      <c r="C29" s="29" t="s">
        <v>229</v>
      </c>
      <c r="D29" s="27"/>
      <c r="E29" s="27"/>
      <c r="F29" s="27"/>
      <c r="G29" s="38"/>
      <c r="H29" s="28"/>
      <c r="I29" s="22"/>
      <c r="J29" s="22"/>
    </row>
    <row r="30" spans="1:10" ht="26.1" customHeight="1">
      <c r="A30" s="21"/>
      <c r="B30" s="216"/>
      <c r="C30" s="29" t="s">
        <v>231</v>
      </c>
      <c r="D30" s="27"/>
      <c r="E30" s="27"/>
      <c r="F30" s="27"/>
      <c r="G30" s="28"/>
      <c r="H30" s="28"/>
      <c r="I30" s="22"/>
      <c r="J30" s="22"/>
    </row>
    <row r="31" spans="1:10" ht="26.1" customHeight="1">
      <c r="A31" s="21"/>
      <c r="B31" s="216"/>
      <c r="C31" s="29" t="s">
        <v>232</v>
      </c>
      <c r="D31" s="27"/>
      <c r="E31" s="27"/>
      <c r="F31" s="27"/>
      <c r="G31" s="29"/>
      <c r="H31" s="28"/>
      <c r="I31" s="22"/>
      <c r="J31" s="22"/>
    </row>
    <row r="32" spans="1:10" ht="26.1" customHeight="1">
      <c r="A32" s="21"/>
      <c r="B32" s="219"/>
      <c r="C32" s="34" t="s">
        <v>233</v>
      </c>
      <c r="D32" s="27"/>
      <c r="E32" s="27"/>
      <c r="F32" s="27"/>
      <c r="G32" s="34"/>
      <c r="H32" s="28"/>
      <c r="I32" s="22"/>
      <c r="J32" s="22"/>
    </row>
    <row r="33" spans="1:10" ht="26.1" customHeight="1">
      <c r="A33" s="21"/>
      <c r="B33" s="216"/>
      <c r="C33" s="26" t="s">
        <v>234</v>
      </c>
      <c r="D33" s="27"/>
      <c r="E33" s="27"/>
      <c r="F33" s="27"/>
      <c r="G33" s="28"/>
      <c r="H33" s="28"/>
      <c r="I33" s="22"/>
      <c r="J33" s="22"/>
    </row>
    <row r="34" spans="1:10" ht="26.1" customHeight="1">
      <c r="A34" s="21"/>
      <c r="B34" s="216"/>
      <c r="C34" s="29" t="s">
        <v>175</v>
      </c>
      <c r="D34" s="27"/>
      <c r="E34" s="27"/>
      <c r="F34" s="27"/>
      <c r="G34" s="28"/>
      <c r="H34" s="28"/>
      <c r="I34" s="22"/>
      <c r="J34" s="22"/>
    </row>
    <row r="35" spans="1:10" ht="26.1" customHeight="1">
      <c r="A35" s="21"/>
      <c r="B35" s="216"/>
      <c r="C35" s="29" t="s">
        <v>235</v>
      </c>
      <c r="D35" s="27"/>
      <c r="E35" s="27"/>
      <c r="F35" s="27"/>
      <c r="G35" s="29"/>
      <c r="H35" s="28"/>
      <c r="I35" s="22"/>
      <c r="J35" s="22"/>
    </row>
    <row r="36" spans="1:10" ht="26.1" customHeight="1">
      <c r="A36" s="21"/>
      <c r="B36" s="216"/>
      <c r="C36" s="29" t="s">
        <v>176</v>
      </c>
      <c r="D36" s="27"/>
      <c r="E36" s="27"/>
      <c r="F36" s="27"/>
      <c r="G36" s="29"/>
      <c r="H36" s="28"/>
      <c r="I36" s="22"/>
      <c r="J36" s="22"/>
    </row>
    <row r="37" spans="1:10" ht="26.1" customHeight="1">
      <c r="A37" s="21"/>
      <c r="B37" s="216"/>
      <c r="C37" s="29" t="s">
        <v>186</v>
      </c>
      <c r="D37" s="27"/>
      <c r="E37" s="27"/>
      <c r="F37" s="27"/>
      <c r="G37" s="29"/>
      <c r="H37" s="28"/>
      <c r="I37" s="22"/>
      <c r="J37" s="22"/>
    </row>
    <row r="38" spans="1:10" ht="26.1" customHeight="1">
      <c r="A38" s="21"/>
      <c r="B38" s="221" t="s">
        <v>177</v>
      </c>
      <c r="C38" s="31" t="s">
        <v>236</v>
      </c>
      <c r="D38" s="27"/>
      <c r="E38" s="27"/>
      <c r="F38" s="27"/>
      <c r="G38" s="28"/>
      <c r="H38" s="28"/>
      <c r="I38" s="22"/>
      <c r="J38" s="22"/>
    </row>
    <row r="39" spans="1:10" ht="26.1" customHeight="1">
      <c r="A39" s="21"/>
      <c r="B39" s="222"/>
      <c r="C39" s="34" t="s">
        <v>237</v>
      </c>
      <c r="D39" s="27"/>
      <c r="E39" s="27"/>
      <c r="F39" s="27"/>
      <c r="G39" s="28"/>
      <c r="H39" s="28"/>
      <c r="I39" s="22"/>
      <c r="J39" s="22"/>
    </row>
    <row r="40" spans="1:10" ht="26.1" customHeight="1">
      <c r="A40" s="21"/>
      <c r="B40" s="222"/>
      <c r="C40" s="34" t="s">
        <v>239</v>
      </c>
      <c r="D40" s="27"/>
      <c r="E40" s="27"/>
      <c r="F40" s="27"/>
      <c r="G40" s="28"/>
      <c r="H40" s="28"/>
      <c r="I40" s="22"/>
      <c r="J40" s="22"/>
    </row>
    <row r="41" spans="1:10" ht="26.1" customHeight="1">
      <c r="A41" s="21"/>
      <c r="B41" s="222"/>
      <c r="C41" s="34" t="s">
        <v>238</v>
      </c>
      <c r="D41" s="27"/>
      <c r="E41" s="27"/>
      <c r="F41" s="27"/>
      <c r="G41" s="28"/>
      <c r="H41" s="28"/>
      <c r="I41" s="22"/>
      <c r="J41" s="22"/>
    </row>
    <row r="42" spans="1:10" ht="26.1" customHeight="1">
      <c r="A42" s="21"/>
      <c r="B42" s="223"/>
      <c r="C42" s="34" t="s">
        <v>240</v>
      </c>
      <c r="D42" s="27"/>
      <c r="E42" s="27"/>
      <c r="F42" s="27"/>
      <c r="G42" s="28"/>
      <c r="H42" s="28"/>
      <c r="I42" s="22"/>
      <c r="J42" s="22"/>
    </row>
    <row r="43" spans="1:10" ht="26.1" customHeight="1">
      <c r="A43" s="21"/>
      <c r="B43" s="216" t="s">
        <v>178</v>
      </c>
      <c r="C43" s="34" t="s">
        <v>241</v>
      </c>
      <c r="D43" s="27"/>
      <c r="E43" s="27"/>
      <c r="F43" s="27"/>
      <c r="G43" s="36" t="s">
        <v>138</v>
      </c>
      <c r="H43" s="28"/>
      <c r="I43" s="22"/>
      <c r="J43" s="22"/>
    </row>
    <row r="44" spans="1:10" ht="26.1" customHeight="1">
      <c r="A44" s="21"/>
      <c r="B44" s="216"/>
      <c r="C44" s="29" t="s">
        <v>242</v>
      </c>
      <c r="D44" s="27"/>
      <c r="E44" s="27"/>
      <c r="F44" s="27"/>
      <c r="G44" s="39" t="s">
        <v>138</v>
      </c>
      <c r="H44" s="28"/>
      <c r="I44" s="22"/>
      <c r="J44" s="22"/>
    </row>
    <row r="45" spans="1:10" ht="26.1" customHeight="1">
      <c r="A45" s="21"/>
      <c r="B45" s="216"/>
      <c r="C45" s="26" t="s">
        <v>327</v>
      </c>
      <c r="D45" s="27"/>
      <c r="E45" s="27"/>
      <c r="F45" s="27"/>
      <c r="G45" s="28" t="s">
        <v>138</v>
      </c>
      <c r="H45" s="28"/>
      <c r="I45" s="22"/>
      <c r="J45" s="22"/>
    </row>
    <row r="46" spans="1:10" ht="26.1" customHeight="1">
      <c r="A46" s="21"/>
      <c r="B46" s="216"/>
      <c r="C46" s="31" t="s">
        <v>244</v>
      </c>
      <c r="D46" s="27"/>
      <c r="E46" s="27"/>
      <c r="F46" s="27"/>
      <c r="G46" s="33"/>
      <c r="H46" s="28"/>
      <c r="I46" s="22"/>
      <c r="J46" s="22"/>
    </row>
    <row r="47" spans="1:10" ht="26.1" customHeight="1">
      <c r="A47" s="21"/>
      <c r="B47" s="216"/>
      <c r="C47" s="31" t="s">
        <v>243</v>
      </c>
      <c r="D47" s="27"/>
      <c r="E47" s="27"/>
      <c r="F47" s="27"/>
      <c r="G47" s="33"/>
      <c r="H47" s="28"/>
      <c r="I47" s="22"/>
      <c r="J47" s="22"/>
    </row>
    <row r="48" spans="1:10" ht="26.1" customHeight="1">
      <c r="A48" s="21"/>
      <c r="B48" s="216"/>
      <c r="C48" s="31" t="s">
        <v>246</v>
      </c>
      <c r="D48" s="27"/>
      <c r="E48" s="27"/>
      <c r="F48" s="27"/>
      <c r="G48" s="28"/>
      <c r="H48" s="40"/>
      <c r="I48" s="22"/>
      <c r="J48" s="22"/>
    </row>
    <row r="49" spans="1:10" ht="26.1" customHeight="1">
      <c r="A49" s="21"/>
      <c r="B49" s="216"/>
      <c r="C49" s="31" t="s">
        <v>180</v>
      </c>
      <c r="D49" s="27"/>
      <c r="E49" s="27"/>
      <c r="F49" s="27"/>
      <c r="G49" s="28"/>
      <c r="H49" s="40"/>
      <c r="I49" s="22"/>
      <c r="J49" s="22"/>
    </row>
    <row r="50" spans="1:10" ht="26.1" customHeight="1">
      <c r="A50" s="21"/>
      <c r="B50" s="216"/>
      <c r="C50" s="31" t="s">
        <v>245</v>
      </c>
      <c r="D50" s="27"/>
      <c r="E50" s="27"/>
      <c r="F50" s="27"/>
      <c r="G50" s="28"/>
      <c r="H50" s="40"/>
      <c r="I50" s="22"/>
      <c r="J50" s="22"/>
    </row>
    <row r="51" spans="1:10" ht="26.1" customHeight="1">
      <c r="A51" s="21"/>
      <c r="B51" s="216"/>
      <c r="C51" s="31" t="s">
        <v>188</v>
      </c>
      <c r="D51" s="27"/>
      <c r="E51" s="27"/>
      <c r="F51" s="27"/>
      <c r="G51" s="28"/>
      <c r="H51" s="40"/>
      <c r="I51" s="22"/>
      <c r="J51" s="22"/>
    </row>
    <row r="52" spans="1:10" ht="26.1" customHeight="1">
      <c r="A52" s="21"/>
      <c r="B52" s="216" t="s">
        <v>179</v>
      </c>
      <c r="C52" s="41" t="s">
        <v>140</v>
      </c>
      <c r="D52" s="27"/>
      <c r="E52" s="27"/>
      <c r="F52" s="27"/>
      <c r="G52" s="28" t="s">
        <v>138</v>
      </c>
      <c r="H52" s="40"/>
      <c r="I52" s="22"/>
      <c r="J52" s="22"/>
    </row>
    <row r="53" spans="1:10" ht="26.1" customHeight="1">
      <c r="A53" s="21"/>
      <c r="B53" s="216"/>
      <c r="C53" s="41" t="s">
        <v>141</v>
      </c>
      <c r="D53" s="27"/>
      <c r="E53" s="27"/>
      <c r="F53" s="27"/>
      <c r="G53" s="28"/>
      <c r="H53" s="40"/>
      <c r="I53" s="22"/>
      <c r="J53" s="22"/>
    </row>
    <row r="54" spans="1:10" ht="26.1" customHeight="1">
      <c r="A54" s="21"/>
      <c r="B54" s="216"/>
      <c r="C54" s="31" t="s">
        <v>142</v>
      </c>
      <c r="D54" s="27"/>
      <c r="E54" s="27"/>
      <c r="F54" s="27"/>
      <c r="G54" s="33"/>
      <c r="H54" s="40"/>
      <c r="I54" s="22"/>
      <c r="J54" s="22"/>
    </row>
    <row r="55" spans="1:10" ht="26.1" customHeight="1">
      <c r="A55" s="21"/>
      <c r="B55" s="216"/>
      <c r="C55" s="31" t="s">
        <v>143</v>
      </c>
      <c r="D55" s="27"/>
      <c r="E55" s="27"/>
      <c r="F55" s="27"/>
      <c r="G55" s="28"/>
      <c r="H55" s="40"/>
      <c r="I55" s="22"/>
      <c r="J55" s="22"/>
    </row>
    <row r="56" spans="1:10" ht="26.1" customHeight="1">
      <c r="A56" s="21"/>
      <c r="B56" s="216"/>
      <c r="C56" s="31" t="s">
        <v>144</v>
      </c>
      <c r="D56" s="27"/>
      <c r="E56" s="27"/>
      <c r="F56" s="27"/>
      <c r="G56" s="28"/>
      <c r="H56" s="40"/>
      <c r="I56" s="22"/>
      <c r="J56" s="22"/>
    </row>
    <row r="57" spans="1:10" ht="26.1" customHeight="1">
      <c r="A57" s="21"/>
      <c r="B57" s="216"/>
      <c r="C57" s="31" t="s">
        <v>189</v>
      </c>
      <c r="D57" s="27"/>
      <c r="E57" s="27"/>
      <c r="F57" s="27"/>
      <c r="G57" s="28"/>
      <c r="H57" s="40"/>
      <c r="I57" s="22"/>
      <c r="J57" s="22"/>
    </row>
    <row r="58" spans="1:10" ht="26.1" customHeight="1">
      <c r="A58" s="21"/>
      <c r="B58" s="227" t="s">
        <v>191</v>
      </c>
      <c r="C58" s="228"/>
      <c r="D58" s="27"/>
      <c r="E58" s="27"/>
      <c r="F58" s="27"/>
      <c r="G58" s="38"/>
      <c r="H58" s="40"/>
      <c r="I58" s="22"/>
      <c r="J58" s="22"/>
    </row>
    <row r="59" spans="1:10" ht="26.1" customHeight="1">
      <c r="A59" s="21"/>
      <c r="B59" s="221" t="s">
        <v>190</v>
      </c>
      <c r="C59" s="29" t="s">
        <v>247</v>
      </c>
      <c r="D59" s="27"/>
      <c r="E59" s="27"/>
      <c r="F59" s="27"/>
      <c r="G59" s="38"/>
      <c r="H59" s="40"/>
      <c r="I59" s="22"/>
      <c r="J59" s="22"/>
    </row>
    <row r="60" spans="1:10" ht="26.1" customHeight="1">
      <c r="A60" s="21"/>
      <c r="B60" s="229"/>
      <c r="C60" s="31" t="s">
        <v>145</v>
      </c>
      <c r="D60" s="27"/>
      <c r="E60" s="27"/>
      <c r="F60" s="27"/>
      <c r="G60" s="38"/>
      <c r="H60" s="40"/>
      <c r="I60" s="22"/>
      <c r="J60" s="22"/>
    </row>
    <row r="61" spans="1:10" ht="26.1" customHeight="1">
      <c r="A61" s="21"/>
      <c r="B61" s="229"/>
      <c r="C61" s="31" t="s">
        <v>146</v>
      </c>
      <c r="D61" s="27"/>
      <c r="E61" s="27"/>
      <c r="F61" s="27"/>
      <c r="G61" s="38"/>
      <c r="H61" s="40"/>
      <c r="I61" s="22"/>
      <c r="J61" s="22"/>
    </row>
    <row r="62" spans="1:10" ht="26.1" customHeight="1">
      <c r="A62" s="21"/>
      <c r="B62" s="229"/>
      <c r="C62" s="31" t="s">
        <v>248</v>
      </c>
      <c r="D62" s="27"/>
      <c r="E62" s="27"/>
      <c r="F62" s="27"/>
      <c r="G62" s="38"/>
      <c r="H62" s="40"/>
      <c r="I62" s="22"/>
      <c r="J62" s="22"/>
    </row>
    <row r="63" spans="1:10" ht="26.1" customHeight="1">
      <c r="A63" s="21"/>
      <c r="B63" s="229"/>
      <c r="C63" s="31" t="s">
        <v>249</v>
      </c>
      <c r="D63" s="27"/>
      <c r="E63" s="27"/>
      <c r="F63" s="27"/>
      <c r="G63" s="38"/>
      <c r="H63" s="40"/>
      <c r="I63" s="22"/>
      <c r="J63" s="22"/>
    </row>
    <row r="64" spans="1:10" ht="26.1" customHeight="1">
      <c r="A64" s="21"/>
      <c r="B64" s="229"/>
      <c r="C64" s="31" t="s">
        <v>250</v>
      </c>
      <c r="D64" s="27"/>
      <c r="E64" s="27"/>
      <c r="F64" s="27"/>
      <c r="G64" s="38"/>
      <c r="H64" s="40"/>
      <c r="I64" s="22"/>
      <c r="J64" s="22"/>
    </row>
    <row r="65" spans="1:10" ht="26.1" customHeight="1">
      <c r="A65" s="21"/>
      <c r="B65" s="223"/>
      <c r="C65" s="31" t="s">
        <v>251</v>
      </c>
      <c r="D65" s="27"/>
      <c r="E65" s="27"/>
      <c r="F65" s="27"/>
      <c r="G65" s="38"/>
      <c r="H65" s="40"/>
      <c r="I65" s="22"/>
      <c r="J65" s="22"/>
    </row>
    <row r="66" spans="1:10" ht="26.1" customHeight="1">
      <c r="A66" s="21"/>
      <c r="B66" s="216" t="s">
        <v>252</v>
      </c>
      <c r="C66" s="29" t="s">
        <v>253</v>
      </c>
      <c r="D66" s="27"/>
      <c r="E66" s="27"/>
      <c r="F66" s="27"/>
      <c r="G66" s="38"/>
      <c r="H66" s="40"/>
      <c r="I66" s="22"/>
      <c r="J66" s="22"/>
    </row>
    <row r="67" spans="1:10" ht="26.1" customHeight="1">
      <c r="A67" s="21"/>
      <c r="B67" s="216"/>
      <c r="C67" s="29" t="s">
        <v>254</v>
      </c>
      <c r="D67" s="27"/>
      <c r="E67" s="27"/>
      <c r="F67" s="27"/>
      <c r="G67" s="38"/>
      <c r="H67" s="40"/>
      <c r="I67" s="22"/>
      <c r="J67" s="22"/>
    </row>
    <row r="68" spans="1:10" ht="26.1" customHeight="1">
      <c r="A68" s="21"/>
      <c r="B68" s="216" t="s">
        <v>192</v>
      </c>
      <c r="C68" s="29" t="s">
        <v>147</v>
      </c>
      <c r="D68" s="27"/>
      <c r="E68" s="27"/>
      <c r="F68" s="27"/>
      <c r="G68" s="38"/>
      <c r="H68" s="28"/>
      <c r="I68" s="22"/>
      <c r="J68" s="22"/>
    </row>
    <row r="69" spans="1:10" ht="26.1" customHeight="1">
      <c r="A69" s="21"/>
      <c r="B69" s="216"/>
      <c r="C69" s="29" t="s">
        <v>255</v>
      </c>
      <c r="D69" s="27"/>
      <c r="E69" s="27"/>
      <c r="F69" s="27"/>
      <c r="G69" s="28"/>
      <c r="H69" s="28"/>
      <c r="I69" s="22"/>
      <c r="J69" s="22"/>
    </row>
    <row r="70" spans="1:10" ht="26.1" customHeight="1">
      <c r="A70" s="21"/>
      <c r="B70" s="216"/>
      <c r="C70" s="29" t="s">
        <v>259</v>
      </c>
      <c r="D70" s="27"/>
      <c r="E70" s="27"/>
      <c r="F70" s="27"/>
      <c r="G70" s="28"/>
      <c r="H70" s="28"/>
      <c r="I70" s="22"/>
      <c r="J70" s="22"/>
    </row>
    <row r="71" spans="1:10" ht="26.1" customHeight="1">
      <c r="A71" s="21"/>
      <c r="B71" s="216"/>
      <c r="C71" s="29" t="s">
        <v>256</v>
      </c>
      <c r="D71" s="27"/>
      <c r="E71" s="27"/>
      <c r="F71" s="27"/>
      <c r="G71" s="28"/>
      <c r="H71" s="28"/>
      <c r="I71" s="22"/>
      <c r="J71" s="22"/>
    </row>
    <row r="72" spans="1:10" ht="26.1" customHeight="1">
      <c r="A72" s="21"/>
      <c r="B72" s="216"/>
      <c r="C72" s="29" t="s">
        <v>262</v>
      </c>
      <c r="D72" s="27"/>
      <c r="E72" s="27"/>
      <c r="F72" s="27"/>
      <c r="G72" s="38"/>
      <c r="H72" s="40"/>
      <c r="I72" s="22"/>
      <c r="J72" s="22"/>
    </row>
    <row r="73" spans="1:10" ht="26.1" customHeight="1">
      <c r="A73" s="21"/>
      <c r="B73" s="216" t="s">
        <v>193</v>
      </c>
      <c r="C73" s="29" t="s">
        <v>257</v>
      </c>
      <c r="D73" s="27"/>
      <c r="E73" s="27"/>
      <c r="F73" s="27"/>
      <c r="G73" s="40"/>
      <c r="H73" s="28"/>
      <c r="I73" s="22"/>
      <c r="J73" s="22"/>
    </row>
    <row r="74" spans="1:10" ht="26.1" customHeight="1">
      <c r="A74" s="21"/>
      <c r="B74" s="216"/>
      <c r="C74" s="29" t="s">
        <v>258</v>
      </c>
      <c r="D74" s="27"/>
      <c r="E74" s="27"/>
      <c r="F74" s="27"/>
      <c r="G74" s="40"/>
      <c r="H74" s="28"/>
      <c r="I74" s="22"/>
      <c r="J74" s="22"/>
    </row>
    <row r="75" spans="1:10" ht="26.1" customHeight="1">
      <c r="A75" s="21"/>
      <c r="B75" s="216"/>
      <c r="C75" s="29" t="s">
        <v>260</v>
      </c>
      <c r="D75" s="27"/>
      <c r="E75" s="27"/>
      <c r="F75" s="27"/>
      <c r="G75" s="40"/>
      <c r="H75" s="28"/>
      <c r="I75" s="22"/>
      <c r="J75" s="22"/>
    </row>
    <row r="76" spans="1:10" ht="26.1" customHeight="1">
      <c r="A76" s="21"/>
      <c r="B76" s="216"/>
      <c r="C76" s="29" t="s">
        <v>261</v>
      </c>
      <c r="D76" s="27"/>
      <c r="E76" s="27"/>
      <c r="F76" s="27"/>
      <c r="G76" s="40"/>
      <c r="H76" s="28"/>
      <c r="I76" s="22"/>
      <c r="J76" s="22"/>
    </row>
    <row r="77" spans="1:10" ht="26.1" customHeight="1">
      <c r="A77" s="21"/>
      <c r="B77" s="216" t="s">
        <v>194</v>
      </c>
      <c r="C77" s="31" t="s">
        <v>263</v>
      </c>
      <c r="D77" s="27"/>
      <c r="E77" s="27"/>
      <c r="F77" s="27"/>
      <c r="G77" s="42"/>
      <c r="H77" s="28"/>
      <c r="I77" s="22"/>
      <c r="J77" s="22"/>
    </row>
    <row r="78" spans="1:10" ht="26.1" customHeight="1">
      <c r="A78" s="21"/>
      <c r="B78" s="216"/>
      <c r="C78" s="31" t="s">
        <v>264</v>
      </c>
      <c r="D78" s="27"/>
      <c r="E78" s="27"/>
      <c r="F78" s="27"/>
      <c r="G78" s="40"/>
      <c r="H78" s="28"/>
      <c r="I78" s="22"/>
      <c r="J78" s="22"/>
    </row>
    <row r="79" spans="1:10" ht="26.1" customHeight="1">
      <c r="A79" s="21"/>
      <c r="B79" s="216"/>
      <c r="C79" s="31" t="s">
        <v>265</v>
      </c>
      <c r="D79" s="27"/>
      <c r="E79" s="27"/>
      <c r="F79" s="27"/>
      <c r="G79" s="40"/>
      <c r="H79" s="28"/>
      <c r="I79" s="22"/>
      <c r="J79" s="22"/>
    </row>
    <row r="80" spans="1:10" ht="26.1" customHeight="1">
      <c r="A80" s="21"/>
      <c r="B80" s="216"/>
      <c r="C80" s="31" t="s">
        <v>266</v>
      </c>
      <c r="D80" s="27"/>
      <c r="E80" s="27"/>
      <c r="F80" s="27"/>
      <c r="G80" s="40"/>
      <c r="H80" s="28"/>
      <c r="I80" s="22"/>
      <c r="J80" s="22"/>
    </row>
    <row r="81" spans="1:10" ht="26.1" customHeight="1">
      <c r="A81" s="21"/>
      <c r="B81" s="216"/>
      <c r="C81" s="31" t="s">
        <v>267</v>
      </c>
      <c r="D81" s="27"/>
      <c r="E81" s="27"/>
      <c r="F81" s="27"/>
      <c r="G81" s="40"/>
      <c r="H81" s="28"/>
      <c r="I81" s="22"/>
      <c r="J81" s="22"/>
    </row>
    <row r="82" spans="1:10" ht="26.1" customHeight="1">
      <c r="A82" s="21"/>
      <c r="B82" s="216"/>
      <c r="C82" s="31" t="s">
        <v>270</v>
      </c>
      <c r="D82" s="27"/>
      <c r="E82" s="27"/>
      <c r="F82" s="27"/>
      <c r="G82" s="40"/>
      <c r="H82" s="28"/>
      <c r="I82" s="22"/>
      <c r="J82" s="22"/>
    </row>
    <row r="83" spans="1:10" ht="26.1" customHeight="1">
      <c r="A83" s="21"/>
      <c r="B83" s="216" t="s">
        <v>195</v>
      </c>
      <c r="C83" s="29" t="s">
        <v>268</v>
      </c>
      <c r="D83" s="27"/>
      <c r="E83" s="27"/>
      <c r="F83" s="27"/>
      <c r="G83" s="28"/>
      <c r="H83" s="40"/>
      <c r="I83" s="22"/>
      <c r="J83" s="22"/>
    </row>
    <row r="84" spans="1:10" ht="26.1" customHeight="1">
      <c r="A84" s="21"/>
      <c r="B84" s="216"/>
      <c r="C84" s="31" t="s">
        <v>148</v>
      </c>
      <c r="D84" s="27"/>
      <c r="E84" s="27"/>
      <c r="F84" s="27"/>
      <c r="G84" s="28" t="s">
        <v>138</v>
      </c>
      <c r="H84" s="40"/>
      <c r="I84" s="22"/>
      <c r="J84" s="22"/>
    </row>
    <row r="85" spans="1:10" ht="26.1" customHeight="1">
      <c r="A85" s="21"/>
      <c r="B85" s="216"/>
      <c r="C85" s="34" t="s">
        <v>196</v>
      </c>
      <c r="D85" s="27"/>
      <c r="E85" s="27"/>
      <c r="F85" s="27"/>
      <c r="G85" s="28"/>
      <c r="H85" s="40"/>
      <c r="I85" s="22"/>
      <c r="J85" s="22"/>
    </row>
    <row r="86" spans="1:10" ht="26.1" customHeight="1">
      <c r="A86" s="21"/>
      <c r="B86" s="216"/>
      <c r="C86" s="34" t="s">
        <v>197</v>
      </c>
      <c r="D86" s="27"/>
      <c r="E86" s="27"/>
      <c r="F86" s="27"/>
      <c r="G86" s="40"/>
      <c r="H86" s="40"/>
      <c r="I86" s="22"/>
      <c r="J86" s="22"/>
    </row>
    <row r="87" spans="1:10" ht="26.1" customHeight="1">
      <c r="A87" s="21"/>
      <c r="B87" s="216"/>
      <c r="C87" s="31" t="s">
        <v>209</v>
      </c>
      <c r="D87" s="27"/>
      <c r="E87" s="27"/>
      <c r="F87" s="27"/>
      <c r="G87" s="40"/>
      <c r="H87" s="40"/>
      <c r="I87" s="22"/>
      <c r="J87" s="22"/>
    </row>
    <row r="88" spans="1:10" ht="26.1" customHeight="1">
      <c r="A88" s="21"/>
      <c r="B88" s="216"/>
      <c r="C88" s="34" t="s">
        <v>269</v>
      </c>
      <c r="D88" s="27"/>
      <c r="E88" s="27"/>
      <c r="F88" s="27"/>
      <c r="G88" s="40"/>
      <c r="H88" s="40"/>
      <c r="I88" s="22"/>
      <c r="J88" s="22"/>
    </row>
    <row r="89" spans="1:10" ht="26.1" customHeight="1">
      <c r="A89" s="21"/>
      <c r="B89" s="216"/>
      <c r="C89" s="34" t="s">
        <v>251</v>
      </c>
      <c r="D89" s="27"/>
      <c r="E89" s="27"/>
      <c r="F89" s="27"/>
      <c r="G89" s="40"/>
      <c r="H89" s="40"/>
      <c r="I89" s="22"/>
      <c r="J89" s="22"/>
    </row>
    <row r="90" spans="1:10" ht="26.1" customHeight="1">
      <c r="A90" s="21"/>
      <c r="B90" s="218" t="s">
        <v>271</v>
      </c>
      <c r="C90" s="26" t="s">
        <v>272</v>
      </c>
      <c r="D90" s="27"/>
      <c r="E90" s="27"/>
      <c r="F90" s="27"/>
      <c r="G90" s="28"/>
      <c r="H90" s="40"/>
      <c r="I90" s="22"/>
      <c r="J90" s="22"/>
    </row>
    <row r="91" spans="1:10" ht="26.1" customHeight="1">
      <c r="A91" s="21"/>
      <c r="B91" s="219"/>
      <c r="C91" s="29" t="s">
        <v>273</v>
      </c>
      <c r="D91" s="27"/>
      <c r="E91" s="27"/>
      <c r="F91" s="27"/>
      <c r="G91" s="33"/>
      <c r="H91" s="40"/>
      <c r="I91" s="22"/>
      <c r="J91" s="22"/>
    </row>
    <row r="92" spans="1:10" ht="26.1" customHeight="1">
      <c r="A92" s="21"/>
      <c r="B92" s="216"/>
      <c r="C92" s="26" t="s">
        <v>275</v>
      </c>
      <c r="D92" s="27"/>
      <c r="E92" s="27"/>
      <c r="F92" s="27"/>
      <c r="G92" s="40"/>
      <c r="H92" s="40"/>
      <c r="I92" s="22"/>
      <c r="J92" s="22"/>
    </row>
    <row r="93" spans="1:10" ht="26.1" customHeight="1">
      <c r="A93" s="21"/>
      <c r="B93" s="216"/>
      <c r="C93" s="26" t="s">
        <v>274</v>
      </c>
      <c r="D93" s="27"/>
      <c r="E93" s="27"/>
      <c r="F93" s="27"/>
      <c r="G93" s="40"/>
      <c r="H93" s="40"/>
      <c r="I93" s="22"/>
      <c r="J93" s="22"/>
    </row>
    <row r="94" spans="1:10" ht="26.1" customHeight="1">
      <c r="A94" s="21"/>
      <c r="B94" s="216"/>
      <c r="C94" s="43" t="s">
        <v>276</v>
      </c>
      <c r="D94" s="27"/>
      <c r="E94" s="27"/>
      <c r="F94" s="27"/>
      <c r="G94" s="40"/>
      <c r="H94" s="40"/>
      <c r="I94" s="22"/>
      <c r="J94" s="22"/>
    </row>
    <row r="95" spans="1:10" ht="26.1" customHeight="1">
      <c r="A95" s="21"/>
      <c r="B95" s="216"/>
      <c r="C95" s="43" t="s">
        <v>277</v>
      </c>
      <c r="D95" s="27"/>
      <c r="E95" s="27">
        <v>1</v>
      </c>
      <c r="F95" s="27"/>
      <c r="G95" s="40" t="s">
        <v>370</v>
      </c>
      <c r="H95" s="40"/>
      <c r="I95" s="22"/>
      <c r="J95" s="22"/>
    </row>
    <row r="96" spans="1:10" ht="26.1" customHeight="1">
      <c r="A96" s="21"/>
      <c r="B96" s="216" t="s">
        <v>198</v>
      </c>
      <c r="C96" s="34" t="s">
        <v>281</v>
      </c>
      <c r="D96" s="27"/>
      <c r="E96" s="27"/>
      <c r="F96" s="27"/>
      <c r="G96" s="40" t="s">
        <v>138</v>
      </c>
      <c r="H96" s="44"/>
      <c r="I96" s="22"/>
      <c r="J96" s="22"/>
    </row>
    <row r="97" spans="1:10" ht="26.1" customHeight="1">
      <c r="A97" s="21"/>
      <c r="B97" s="216"/>
      <c r="C97" s="26" t="s">
        <v>279</v>
      </c>
      <c r="D97" s="27"/>
      <c r="E97" s="27"/>
      <c r="F97" s="27"/>
      <c r="G97" s="40"/>
      <c r="H97" s="40"/>
      <c r="I97" s="22"/>
      <c r="J97" s="22"/>
    </row>
    <row r="98" spans="1:10" ht="26.1" customHeight="1">
      <c r="A98" s="21"/>
      <c r="B98" s="216"/>
      <c r="C98" s="26" t="s">
        <v>328</v>
      </c>
      <c r="D98" s="27"/>
      <c r="E98" s="27"/>
      <c r="F98" s="27"/>
      <c r="G98" s="40"/>
      <c r="H98" s="40"/>
      <c r="I98" s="22"/>
      <c r="J98" s="22"/>
    </row>
    <row r="99" spans="1:10" ht="26.1" customHeight="1">
      <c r="A99" s="21"/>
      <c r="B99" s="216"/>
      <c r="C99" s="43" t="s">
        <v>278</v>
      </c>
      <c r="D99" s="27"/>
      <c r="E99" s="27"/>
      <c r="F99" s="27"/>
      <c r="G99" s="30"/>
      <c r="H99" s="40"/>
      <c r="I99" s="22"/>
      <c r="J99" s="22"/>
    </row>
    <row r="100" spans="1:10" ht="26.1" customHeight="1">
      <c r="A100" s="21"/>
      <c r="B100" s="216"/>
      <c r="C100" s="26" t="s">
        <v>199</v>
      </c>
      <c r="D100" s="27"/>
      <c r="E100" s="27"/>
      <c r="F100" s="27"/>
      <c r="G100" s="40"/>
      <c r="H100" s="40"/>
      <c r="I100" s="22"/>
      <c r="J100" s="22"/>
    </row>
    <row r="101" spans="1:10" ht="26.1" customHeight="1">
      <c r="A101" s="21"/>
      <c r="B101" s="216"/>
      <c r="C101" s="26" t="s">
        <v>200</v>
      </c>
      <c r="D101" s="27"/>
      <c r="E101" s="27"/>
      <c r="F101" s="27"/>
      <c r="G101" s="42"/>
      <c r="H101" s="40"/>
      <c r="I101" s="22"/>
      <c r="J101" s="22"/>
    </row>
    <row r="102" spans="1:10" ht="26.1" customHeight="1">
      <c r="A102" s="21"/>
      <c r="B102" s="216"/>
      <c r="C102" s="31" t="s">
        <v>201</v>
      </c>
      <c r="D102" s="27"/>
      <c r="E102" s="27"/>
      <c r="F102" s="27"/>
      <c r="G102" s="40"/>
      <c r="H102" s="40"/>
      <c r="I102" s="22"/>
      <c r="J102" s="22"/>
    </row>
    <row r="103" spans="1:10" ht="26.1" customHeight="1">
      <c r="A103" s="21"/>
      <c r="B103" s="216"/>
      <c r="C103" s="31" t="s">
        <v>202</v>
      </c>
      <c r="D103" s="27"/>
      <c r="E103" s="27"/>
      <c r="F103" s="27"/>
      <c r="G103" s="40"/>
      <c r="H103" s="40"/>
      <c r="I103" s="22"/>
      <c r="J103" s="22"/>
    </row>
    <row r="104" spans="1:10" ht="26.1" customHeight="1">
      <c r="A104" s="21"/>
      <c r="B104" s="216"/>
      <c r="C104" s="34" t="s">
        <v>280</v>
      </c>
      <c r="D104" s="27"/>
      <c r="E104" s="27"/>
      <c r="F104" s="27"/>
      <c r="G104" s="40" t="s">
        <v>138</v>
      </c>
      <c r="H104" s="40"/>
      <c r="I104" s="22"/>
      <c r="J104" s="22"/>
    </row>
    <row r="105" spans="1:10" ht="26.1" customHeight="1">
      <c r="A105" s="21"/>
      <c r="B105" s="23" t="s">
        <v>203</v>
      </c>
      <c r="C105" s="31"/>
      <c r="D105" s="27"/>
      <c r="E105" s="27"/>
      <c r="F105" s="27"/>
      <c r="G105" s="40"/>
      <c r="H105" s="40"/>
      <c r="I105" s="22"/>
      <c r="J105" s="22"/>
    </row>
    <row r="106" spans="1:10" ht="26.1" customHeight="1">
      <c r="A106" s="21"/>
      <c r="B106" s="216" t="s">
        <v>204</v>
      </c>
      <c r="C106" s="31" t="s">
        <v>149</v>
      </c>
      <c r="D106" s="27"/>
      <c r="E106" s="27"/>
      <c r="F106" s="27"/>
      <c r="G106" s="42"/>
      <c r="H106" s="40"/>
      <c r="I106" s="22"/>
      <c r="J106" s="22"/>
    </row>
    <row r="107" spans="1:10" ht="26.1" customHeight="1">
      <c r="A107" s="21"/>
      <c r="B107" s="216"/>
      <c r="C107" s="34" t="s">
        <v>150</v>
      </c>
      <c r="D107" s="27"/>
      <c r="E107" s="27"/>
      <c r="F107" s="27"/>
      <c r="G107" s="42"/>
      <c r="H107" s="40"/>
      <c r="I107" s="22"/>
      <c r="J107" s="22"/>
    </row>
    <row r="108" spans="1:10" ht="26.1" customHeight="1">
      <c r="A108" s="21"/>
      <c r="B108" s="216"/>
      <c r="C108" s="31" t="s">
        <v>151</v>
      </c>
      <c r="D108" s="27"/>
      <c r="E108" s="27"/>
      <c r="F108" s="27"/>
      <c r="G108" s="42"/>
      <c r="H108" s="40"/>
      <c r="I108" s="22"/>
      <c r="J108" s="22"/>
    </row>
    <row r="109" spans="1:10" ht="26.1" customHeight="1">
      <c r="A109" s="21"/>
      <c r="B109" s="216"/>
      <c r="C109" s="31" t="s">
        <v>282</v>
      </c>
      <c r="D109" s="27"/>
      <c r="E109" s="27"/>
      <c r="F109" s="27"/>
      <c r="G109" s="42"/>
      <c r="H109" s="40"/>
      <c r="I109" s="22"/>
      <c r="J109" s="22"/>
    </row>
    <row r="110" spans="1:10" ht="26.1" customHeight="1">
      <c r="A110" s="21"/>
      <c r="B110" s="216"/>
      <c r="C110" s="31" t="s">
        <v>240</v>
      </c>
      <c r="D110" s="27"/>
      <c r="E110" s="27"/>
      <c r="F110" s="27"/>
      <c r="G110" s="36"/>
      <c r="H110" s="40"/>
      <c r="I110" s="22"/>
      <c r="J110" s="22"/>
    </row>
    <row r="111" spans="1:10" ht="26.1" customHeight="1">
      <c r="A111" s="21"/>
      <c r="B111" s="216" t="s">
        <v>205</v>
      </c>
      <c r="C111" s="31" t="s">
        <v>283</v>
      </c>
      <c r="D111" s="27"/>
      <c r="E111" s="27"/>
      <c r="F111" s="27"/>
      <c r="G111" s="40"/>
      <c r="H111" s="40"/>
      <c r="I111" s="22"/>
      <c r="J111" s="22"/>
    </row>
    <row r="112" spans="1:10" ht="26.1" customHeight="1">
      <c r="A112" s="21"/>
      <c r="B112" s="216"/>
      <c r="C112" s="31" t="s">
        <v>206</v>
      </c>
      <c r="D112" s="27"/>
      <c r="E112" s="27"/>
      <c r="F112" s="27"/>
      <c r="G112" s="40"/>
      <c r="H112" s="40"/>
      <c r="I112" s="22"/>
      <c r="J112" s="22"/>
    </row>
    <row r="113" spans="1:10" ht="26.1" customHeight="1">
      <c r="A113" s="21"/>
      <c r="B113" s="216"/>
      <c r="C113" s="31" t="s">
        <v>285</v>
      </c>
      <c r="D113" s="27"/>
      <c r="E113" s="27"/>
      <c r="F113" s="27"/>
      <c r="G113" s="40"/>
      <c r="H113" s="40"/>
      <c r="I113" s="22"/>
      <c r="J113" s="22"/>
    </row>
    <row r="114" spans="1:10" ht="26.1" customHeight="1">
      <c r="A114" s="21"/>
      <c r="B114" s="216"/>
      <c r="C114" s="31" t="s">
        <v>284</v>
      </c>
      <c r="D114" s="27"/>
      <c r="E114" s="27">
        <v>1</v>
      </c>
      <c r="F114" s="27"/>
      <c r="G114" s="40" t="s">
        <v>371</v>
      </c>
      <c r="H114" s="40"/>
      <c r="I114" s="22"/>
      <c r="J114" s="22"/>
    </row>
    <row r="115" spans="1:10" ht="26.1" customHeight="1">
      <c r="A115" s="21"/>
      <c r="B115" s="216" t="s">
        <v>207</v>
      </c>
      <c r="C115" s="31" t="s">
        <v>286</v>
      </c>
      <c r="D115" s="27"/>
      <c r="E115" s="27"/>
      <c r="F115" s="27"/>
      <c r="G115" s="40"/>
      <c r="H115" s="40"/>
      <c r="I115" s="22"/>
      <c r="J115" s="22"/>
    </row>
    <row r="116" spans="1:10" ht="26.1" customHeight="1">
      <c r="A116" s="21"/>
      <c r="B116" s="216"/>
      <c r="C116" s="31" t="s">
        <v>287</v>
      </c>
      <c r="D116" s="27"/>
      <c r="E116" s="27"/>
      <c r="F116" s="27"/>
      <c r="G116" s="40"/>
      <c r="H116" s="40"/>
      <c r="I116" s="22"/>
      <c r="J116" s="22"/>
    </row>
    <row r="117" spans="1:10" ht="26.1" customHeight="1">
      <c r="A117" s="21"/>
      <c r="B117" s="216"/>
      <c r="C117" s="34" t="s">
        <v>288</v>
      </c>
      <c r="D117" s="27"/>
      <c r="E117" s="27"/>
      <c r="F117" s="27"/>
      <c r="G117" s="40"/>
      <c r="H117" s="40"/>
      <c r="I117" s="22"/>
      <c r="J117" s="22"/>
    </row>
    <row r="118" spans="1:10" ht="26.1" customHeight="1">
      <c r="A118" s="21"/>
      <c r="B118" s="216"/>
      <c r="C118" s="34" t="s">
        <v>289</v>
      </c>
      <c r="D118" s="27"/>
      <c r="E118" s="27"/>
      <c r="F118" s="27"/>
      <c r="G118" s="40"/>
      <c r="H118" s="40"/>
      <c r="I118" s="22"/>
      <c r="J118" s="22"/>
    </row>
    <row r="119" spans="1:10" ht="26.1" customHeight="1">
      <c r="A119" s="21"/>
      <c r="B119" s="216"/>
      <c r="C119" s="34" t="s">
        <v>290</v>
      </c>
      <c r="D119" s="27"/>
      <c r="E119" s="27"/>
      <c r="F119" s="27"/>
      <c r="G119" s="40"/>
      <c r="H119" s="40"/>
      <c r="I119" s="22"/>
      <c r="J119" s="22"/>
    </row>
    <row r="120" spans="1:10" ht="26.1" customHeight="1">
      <c r="A120" s="21"/>
      <c r="B120" s="216"/>
      <c r="C120" s="34" t="s">
        <v>189</v>
      </c>
      <c r="D120" s="27"/>
      <c r="E120" s="27"/>
      <c r="F120" s="27"/>
      <c r="G120" s="40"/>
      <c r="H120" s="40"/>
      <c r="I120" s="22"/>
      <c r="J120" s="22"/>
    </row>
    <row r="121" spans="1:10" ht="26.1" customHeight="1">
      <c r="A121" s="21"/>
      <c r="B121" s="216" t="s">
        <v>208</v>
      </c>
      <c r="C121" s="31" t="s">
        <v>291</v>
      </c>
      <c r="D121" s="27"/>
      <c r="E121" s="27"/>
      <c r="F121" s="27"/>
      <c r="G121" s="28"/>
      <c r="H121" s="40"/>
      <c r="I121" s="22"/>
      <c r="J121" s="22"/>
    </row>
    <row r="122" spans="1:10" ht="26.1" customHeight="1">
      <c r="A122" s="21"/>
      <c r="B122" s="216"/>
      <c r="C122" s="31" t="s">
        <v>152</v>
      </c>
      <c r="D122" s="27"/>
      <c r="E122" s="27"/>
      <c r="F122" s="27"/>
      <c r="G122" s="40"/>
      <c r="H122" s="40"/>
      <c r="I122" s="22"/>
      <c r="J122" s="22"/>
    </row>
    <row r="123" spans="1:10" ht="26.1" customHeight="1">
      <c r="A123" s="21"/>
      <c r="B123" s="216"/>
      <c r="C123" s="31" t="s">
        <v>292</v>
      </c>
      <c r="D123" s="27"/>
      <c r="E123" s="27"/>
      <c r="F123" s="27"/>
      <c r="G123" s="40"/>
      <c r="H123" s="40"/>
      <c r="I123" s="22"/>
      <c r="J123" s="22"/>
    </row>
    <row r="124" spans="1:10" ht="26.1" customHeight="1">
      <c r="A124" s="21"/>
      <c r="B124" s="216"/>
      <c r="C124" s="31" t="s">
        <v>293</v>
      </c>
      <c r="D124" s="27"/>
      <c r="E124" s="27"/>
      <c r="F124" s="27"/>
      <c r="G124" s="40"/>
      <c r="H124" s="40"/>
      <c r="I124" s="22"/>
      <c r="J124" s="22"/>
    </row>
    <row r="125" spans="1:10" ht="26.1" customHeight="1">
      <c r="A125" s="21"/>
      <c r="B125" s="23" t="s">
        <v>211</v>
      </c>
      <c r="C125" s="34"/>
      <c r="D125" s="27"/>
      <c r="E125" s="27"/>
      <c r="F125" s="27"/>
      <c r="G125" s="28" t="s">
        <v>138</v>
      </c>
      <c r="H125" s="40"/>
      <c r="I125" s="22"/>
      <c r="J125" s="22"/>
    </row>
    <row r="126" spans="1:10" ht="26.1" customHeight="1">
      <c r="A126" s="21"/>
      <c r="B126" s="216" t="s">
        <v>212</v>
      </c>
      <c r="C126" s="34" t="s">
        <v>294</v>
      </c>
      <c r="D126" s="27"/>
      <c r="E126" s="27"/>
      <c r="F126" s="27"/>
      <c r="G126" s="28"/>
      <c r="H126" s="40"/>
      <c r="I126" s="22"/>
      <c r="J126" s="22"/>
    </row>
    <row r="127" spans="1:10" ht="26.1" customHeight="1">
      <c r="A127" s="21"/>
      <c r="B127" s="216"/>
      <c r="C127" s="31" t="s">
        <v>295</v>
      </c>
      <c r="D127" s="27"/>
      <c r="E127" s="27"/>
      <c r="F127" s="27"/>
      <c r="G127" s="28"/>
      <c r="H127" s="40"/>
      <c r="I127" s="22"/>
      <c r="J127" s="22"/>
    </row>
    <row r="128" spans="1:10" ht="26.1" customHeight="1">
      <c r="A128" s="21"/>
      <c r="B128" s="216"/>
      <c r="C128" s="31" t="s">
        <v>296</v>
      </c>
      <c r="D128" s="27"/>
      <c r="E128" s="27"/>
      <c r="F128" s="27"/>
      <c r="G128" s="28"/>
      <c r="H128" s="40"/>
      <c r="I128" s="22"/>
      <c r="J128" s="22"/>
    </row>
    <row r="129" spans="1:10" ht="26.1" customHeight="1">
      <c r="A129" s="21"/>
      <c r="B129" s="216"/>
      <c r="C129" s="31" t="s">
        <v>297</v>
      </c>
      <c r="D129" s="27"/>
      <c r="E129" s="27"/>
      <c r="F129" s="27"/>
      <c r="G129" s="28"/>
      <c r="H129" s="40"/>
      <c r="I129" s="22"/>
      <c r="J129" s="22"/>
    </row>
    <row r="130" spans="1:10" ht="26.1" customHeight="1">
      <c r="A130" s="21"/>
      <c r="B130" s="216"/>
      <c r="C130" s="31" t="s">
        <v>240</v>
      </c>
      <c r="D130" s="27"/>
      <c r="E130" s="27"/>
      <c r="F130" s="27"/>
      <c r="G130" s="28" t="s">
        <v>138</v>
      </c>
      <c r="H130" s="40"/>
      <c r="I130" s="22"/>
      <c r="J130" s="22"/>
    </row>
    <row r="131" spans="1:10" ht="26.1" customHeight="1">
      <c r="A131" s="21"/>
      <c r="B131" s="216" t="s">
        <v>213</v>
      </c>
      <c r="C131" s="34" t="s">
        <v>298</v>
      </c>
      <c r="D131" s="27"/>
      <c r="E131" s="27"/>
      <c r="F131" s="27"/>
      <c r="G131" s="40"/>
      <c r="H131" s="40"/>
      <c r="I131" s="22"/>
      <c r="J131" s="22"/>
    </row>
    <row r="132" spans="1:10" ht="26.1" customHeight="1">
      <c r="A132" s="21"/>
      <c r="B132" s="148"/>
      <c r="C132" s="34" t="s">
        <v>299</v>
      </c>
      <c r="D132" s="27"/>
      <c r="E132" s="27"/>
      <c r="F132" s="27"/>
      <c r="G132" s="42"/>
      <c r="H132" s="40"/>
      <c r="I132" s="22"/>
      <c r="J132" s="22"/>
    </row>
    <row r="133" spans="1:10" ht="26.1" customHeight="1">
      <c r="A133" s="21"/>
      <c r="B133" s="148"/>
      <c r="C133" s="34" t="s">
        <v>153</v>
      </c>
      <c r="D133" s="27"/>
      <c r="E133" s="27"/>
      <c r="F133" s="27"/>
      <c r="G133" s="42"/>
      <c r="H133" s="40"/>
      <c r="I133" s="22"/>
      <c r="J133" s="22"/>
    </row>
    <row r="134" spans="1:10" ht="26.1" customHeight="1">
      <c r="A134" s="21"/>
      <c r="B134" s="148"/>
      <c r="C134" s="34" t="s">
        <v>154</v>
      </c>
      <c r="D134" s="27"/>
      <c r="E134" s="27"/>
      <c r="F134" s="27"/>
      <c r="G134" s="42"/>
      <c r="H134" s="40"/>
      <c r="I134" s="22"/>
      <c r="J134" s="22"/>
    </row>
    <row r="135" spans="1:10" ht="26.1" customHeight="1">
      <c r="A135" s="21"/>
      <c r="B135" s="148"/>
      <c r="C135" s="31" t="s">
        <v>155</v>
      </c>
      <c r="D135" s="27"/>
      <c r="E135" s="27"/>
      <c r="F135" s="27"/>
      <c r="G135" s="42"/>
      <c r="H135" s="40"/>
      <c r="I135" s="22"/>
      <c r="J135" s="22"/>
    </row>
    <row r="136" spans="1:10" ht="26.1" customHeight="1">
      <c r="A136" s="22"/>
      <c r="B136" s="148"/>
      <c r="C136" s="31" t="s">
        <v>189</v>
      </c>
      <c r="D136" s="27"/>
      <c r="E136" s="27">
        <v>1</v>
      </c>
      <c r="F136" s="27"/>
      <c r="G136" s="242" t="s">
        <v>367</v>
      </c>
      <c r="H136" s="40"/>
      <c r="I136" s="22"/>
      <c r="J136" s="22"/>
    </row>
    <row r="137" spans="1:10" ht="26.1" customHeight="1">
      <c r="A137" s="22"/>
      <c r="B137" s="24" t="s">
        <v>214</v>
      </c>
      <c r="C137" s="34" t="s">
        <v>300</v>
      </c>
      <c r="D137" s="27"/>
      <c r="E137" s="27"/>
      <c r="F137" s="27"/>
      <c r="G137" s="28"/>
      <c r="H137" s="40"/>
      <c r="I137" s="22"/>
      <c r="J137" s="22"/>
    </row>
    <row r="138" spans="1:10" ht="26.1" customHeight="1">
      <c r="A138" s="22"/>
      <c r="B138" s="217" t="s">
        <v>215</v>
      </c>
      <c r="C138" s="26" t="s">
        <v>301</v>
      </c>
      <c r="D138" s="27"/>
      <c r="E138" s="27"/>
      <c r="F138" s="27"/>
      <c r="G138" s="40"/>
      <c r="H138" s="40"/>
      <c r="I138" s="22"/>
      <c r="J138" s="22"/>
    </row>
    <row r="139" spans="1:10" ht="26.1" customHeight="1">
      <c r="A139" s="22"/>
      <c r="B139" s="217"/>
      <c r="C139" s="26" t="s">
        <v>302</v>
      </c>
      <c r="D139" s="27"/>
      <c r="E139" s="27"/>
      <c r="F139" s="27"/>
      <c r="G139" s="40"/>
      <c r="H139" s="40"/>
      <c r="I139" s="22"/>
      <c r="J139" s="22"/>
    </row>
    <row r="140" spans="1:10" ht="26.1" customHeight="1">
      <c r="A140" s="22"/>
      <c r="B140" s="217"/>
      <c r="C140" s="34" t="s">
        <v>303</v>
      </c>
      <c r="D140" s="27"/>
      <c r="E140" s="27"/>
      <c r="F140" s="27"/>
      <c r="G140" s="40"/>
      <c r="H140" s="40"/>
      <c r="I140" s="22"/>
      <c r="J140" s="22"/>
    </row>
    <row r="141" spans="1:10" ht="26.1" customHeight="1">
      <c r="A141" s="22"/>
      <c r="B141" s="217"/>
      <c r="C141" s="34" t="s">
        <v>304</v>
      </c>
      <c r="D141" s="27"/>
      <c r="E141" s="27"/>
      <c r="F141" s="27"/>
      <c r="G141" s="40"/>
      <c r="H141" s="40"/>
      <c r="I141" s="22"/>
      <c r="J141" s="22"/>
    </row>
    <row r="142" spans="1:10" ht="26.1" customHeight="1">
      <c r="A142" s="22"/>
      <c r="B142" s="217"/>
      <c r="C142" s="34" t="s">
        <v>240</v>
      </c>
      <c r="D142" s="27"/>
      <c r="E142" s="27"/>
      <c r="F142" s="27"/>
      <c r="G142" s="40"/>
      <c r="H142" s="40"/>
      <c r="I142" s="22"/>
      <c r="J142" s="22"/>
    </row>
    <row r="143" spans="1:10" ht="26.1" customHeight="1">
      <c r="A143" s="22"/>
      <c r="B143" s="217" t="s">
        <v>216</v>
      </c>
      <c r="C143" s="26" t="s">
        <v>309</v>
      </c>
      <c r="D143" s="27"/>
      <c r="E143" s="27"/>
      <c r="F143" s="27"/>
      <c r="G143" s="28"/>
      <c r="H143" s="40"/>
      <c r="I143" s="22"/>
      <c r="J143" s="22"/>
    </row>
    <row r="144" spans="1:10" ht="26.1" customHeight="1">
      <c r="A144" s="22"/>
      <c r="B144" s="217"/>
      <c r="C144" s="26" t="s">
        <v>310</v>
      </c>
      <c r="D144" s="27"/>
      <c r="E144" s="27"/>
      <c r="F144" s="27"/>
      <c r="G144" s="28"/>
      <c r="H144" s="40"/>
      <c r="I144" s="22"/>
      <c r="J144" s="22"/>
    </row>
    <row r="145" spans="1:10" ht="26.1" customHeight="1">
      <c r="A145" s="22"/>
      <c r="B145" s="148"/>
      <c r="C145" s="31" t="s">
        <v>305</v>
      </c>
      <c r="D145" s="27"/>
      <c r="E145" s="27"/>
      <c r="F145" s="27"/>
      <c r="G145" s="28"/>
      <c r="H145" s="40"/>
      <c r="I145" s="22"/>
      <c r="J145" s="22"/>
    </row>
    <row r="146" spans="1:10" ht="26.1" customHeight="1">
      <c r="A146" s="22"/>
      <c r="B146" s="148"/>
      <c r="C146" s="31" t="s">
        <v>306</v>
      </c>
      <c r="D146" s="27"/>
      <c r="E146" s="27"/>
      <c r="F146" s="27"/>
      <c r="G146" s="28"/>
      <c r="H146" s="40"/>
      <c r="I146" s="22"/>
      <c r="J146" s="22"/>
    </row>
    <row r="147" spans="1:10" ht="26.1" customHeight="1">
      <c r="A147" s="22"/>
      <c r="B147" s="148"/>
      <c r="C147" s="31" t="s">
        <v>307</v>
      </c>
      <c r="D147" s="27"/>
      <c r="E147" s="27"/>
      <c r="F147" s="27"/>
      <c r="G147" s="28"/>
      <c r="H147" s="40"/>
      <c r="I147" s="22"/>
      <c r="J147" s="22"/>
    </row>
    <row r="148" spans="1:10" ht="26.1" customHeight="1">
      <c r="A148" s="22"/>
      <c r="B148" s="148"/>
      <c r="C148" s="34" t="s">
        <v>308</v>
      </c>
      <c r="D148" s="27"/>
      <c r="E148" s="27"/>
      <c r="F148" s="27"/>
      <c r="G148" s="28"/>
      <c r="H148" s="40"/>
      <c r="I148" s="22"/>
      <c r="J148" s="22"/>
    </row>
    <row r="149" spans="1:10" ht="26.1" customHeight="1">
      <c r="A149" s="22"/>
      <c r="B149" s="148"/>
      <c r="C149" s="31" t="s">
        <v>311</v>
      </c>
      <c r="D149" s="27"/>
      <c r="E149" s="27"/>
      <c r="F149" s="27"/>
      <c r="G149" s="28"/>
      <c r="H149" s="40"/>
      <c r="I149" s="22"/>
      <c r="J149" s="22"/>
    </row>
    <row r="150" spans="1:10" ht="26.1" customHeight="1">
      <c r="A150" s="21"/>
      <c r="B150" s="148"/>
      <c r="C150" s="31" t="s">
        <v>312</v>
      </c>
      <c r="D150" s="27"/>
      <c r="E150" s="27"/>
      <c r="F150" s="27"/>
      <c r="G150" s="28" t="s">
        <v>138</v>
      </c>
      <c r="H150" s="28"/>
      <c r="I150" s="22"/>
      <c r="J150" s="22"/>
    </row>
    <row r="151" spans="1:10" ht="26.1" customHeight="1">
      <c r="A151" s="21"/>
      <c r="B151" s="148"/>
      <c r="C151" s="31" t="s">
        <v>313</v>
      </c>
      <c r="D151" s="27"/>
      <c r="E151" s="27"/>
      <c r="F151" s="27"/>
      <c r="G151" s="28"/>
      <c r="H151" s="28"/>
      <c r="I151" s="22"/>
      <c r="J151" s="22"/>
    </row>
    <row r="152" spans="1:10" ht="26.1" customHeight="1">
      <c r="A152" s="21"/>
      <c r="B152" s="216" t="s">
        <v>217</v>
      </c>
      <c r="C152" s="34" t="s">
        <v>314</v>
      </c>
      <c r="D152" s="27"/>
      <c r="E152" s="27"/>
      <c r="F152" s="27"/>
      <c r="G152" s="28"/>
      <c r="H152" s="28"/>
      <c r="I152" s="22"/>
      <c r="J152" s="22"/>
    </row>
    <row r="153" spans="1:10" ht="26.1" customHeight="1">
      <c r="A153" s="21"/>
      <c r="B153" s="216"/>
      <c r="C153" s="34" t="s">
        <v>315</v>
      </c>
      <c r="D153" s="27"/>
      <c r="E153" s="27"/>
      <c r="F153" s="27"/>
      <c r="G153" s="28"/>
      <c r="H153" s="28"/>
      <c r="I153" s="22"/>
      <c r="J153" s="22"/>
    </row>
    <row r="154" spans="1:10" ht="26.1" customHeight="1">
      <c r="A154" s="21"/>
      <c r="B154" s="216"/>
      <c r="C154" s="34" t="s">
        <v>316</v>
      </c>
      <c r="D154" s="27"/>
      <c r="E154" s="27"/>
      <c r="F154" s="27"/>
      <c r="G154" s="28"/>
      <c r="H154" s="28"/>
      <c r="I154" s="22"/>
      <c r="J154" s="22"/>
    </row>
    <row r="155" spans="1:10" ht="26.1" customHeight="1">
      <c r="A155" s="21"/>
      <c r="B155" s="216"/>
      <c r="C155" s="34" t="s">
        <v>317</v>
      </c>
      <c r="D155" s="27"/>
      <c r="E155" s="27"/>
      <c r="F155" s="27"/>
      <c r="G155" s="28"/>
      <c r="H155" s="28"/>
      <c r="I155" s="22"/>
      <c r="J155" s="22"/>
    </row>
    <row r="156" spans="1:10" ht="26.1" customHeight="1">
      <c r="A156" s="21"/>
      <c r="B156" s="216"/>
      <c r="C156" s="31" t="s">
        <v>318</v>
      </c>
      <c r="D156" s="27"/>
      <c r="E156" s="27"/>
      <c r="F156" s="27"/>
      <c r="G156" s="28"/>
      <c r="H156" s="28"/>
      <c r="I156" s="22"/>
      <c r="J156" s="22"/>
    </row>
    <row r="157" spans="1:10" ht="26.1" customHeight="1">
      <c r="A157" s="21"/>
      <c r="B157" s="216"/>
      <c r="C157" s="31" t="s">
        <v>319</v>
      </c>
      <c r="D157" s="27"/>
      <c r="E157" s="27"/>
      <c r="F157" s="27"/>
      <c r="G157" s="28"/>
      <c r="H157" s="28"/>
      <c r="I157" s="22"/>
      <c r="J157" s="22"/>
    </row>
    <row r="158" spans="1:10" ht="26.1" customHeight="1">
      <c r="A158" s="21"/>
      <c r="B158" s="216"/>
      <c r="C158" s="31" t="s">
        <v>320</v>
      </c>
      <c r="D158" s="27"/>
      <c r="E158" s="27"/>
      <c r="F158" s="27"/>
      <c r="G158" s="28"/>
      <c r="H158" s="28"/>
      <c r="I158" s="22"/>
      <c r="J158" s="22"/>
    </row>
    <row r="159" spans="1:10" ht="26.1" customHeight="1">
      <c r="A159" s="21"/>
      <c r="B159" s="216"/>
      <c r="C159" s="34" t="s">
        <v>321</v>
      </c>
      <c r="D159" s="27"/>
      <c r="E159" s="27"/>
      <c r="F159" s="27"/>
      <c r="G159" s="28"/>
      <c r="H159" s="28"/>
      <c r="I159" s="22"/>
      <c r="J159" s="22"/>
    </row>
    <row r="160" spans="1:10" ht="26.1" customHeight="1">
      <c r="A160" s="21"/>
      <c r="B160" s="216" t="s">
        <v>218</v>
      </c>
      <c r="C160" s="34" t="s">
        <v>322</v>
      </c>
      <c r="D160" s="27"/>
      <c r="E160" s="27"/>
      <c r="F160" s="27"/>
      <c r="G160" s="40"/>
      <c r="H160" s="28"/>
      <c r="I160" s="22"/>
      <c r="J160" s="22"/>
    </row>
    <row r="161" spans="1:10" ht="26.1" customHeight="1">
      <c r="A161" s="21"/>
      <c r="B161" s="216"/>
      <c r="C161" s="34" t="s">
        <v>323</v>
      </c>
      <c r="D161" s="27"/>
      <c r="E161" s="27"/>
      <c r="F161" s="27"/>
      <c r="G161" s="40"/>
      <c r="H161" s="28"/>
      <c r="I161" s="22"/>
      <c r="J161" s="22"/>
    </row>
    <row r="162" spans="1:10" ht="26.1" customHeight="1">
      <c r="A162" s="21"/>
      <c r="B162" s="216"/>
      <c r="C162" s="34" t="s">
        <v>324</v>
      </c>
      <c r="D162" s="27"/>
      <c r="E162" s="27"/>
      <c r="F162" s="27"/>
      <c r="G162" s="40"/>
      <c r="H162" s="28"/>
      <c r="I162" s="22"/>
      <c r="J162" s="22"/>
    </row>
    <row r="163" spans="1:10" ht="26.1" customHeight="1">
      <c r="A163" s="21"/>
      <c r="B163" s="216"/>
      <c r="C163" s="34" t="s">
        <v>325</v>
      </c>
      <c r="D163" s="27"/>
      <c r="E163" s="27"/>
      <c r="F163" s="27"/>
      <c r="G163" s="40"/>
      <c r="H163" s="28"/>
      <c r="I163" s="22"/>
      <c r="J163" s="22"/>
    </row>
    <row r="164" spans="1:10" ht="26.1" customHeight="1">
      <c r="A164" s="21"/>
      <c r="B164" s="216"/>
      <c r="C164" s="34" t="s">
        <v>326</v>
      </c>
      <c r="D164" s="27"/>
      <c r="E164" s="27"/>
      <c r="F164" s="27"/>
      <c r="G164" s="40"/>
      <c r="H164" s="28"/>
      <c r="I164" s="22"/>
      <c r="J164" s="22"/>
    </row>
    <row r="165" spans="1:10" ht="26.1" customHeight="1">
      <c r="A165" s="21"/>
      <c r="B165" s="216"/>
      <c r="C165" s="31" t="s">
        <v>277</v>
      </c>
      <c r="D165" s="27"/>
      <c r="E165" s="27"/>
      <c r="F165" s="27"/>
      <c r="G165" s="40" t="s">
        <v>138</v>
      </c>
      <c r="H165" s="28"/>
      <c r="I165" s="22"/>
      <c r="J165" s="22"/>
    </row>
    <row r="166" spans="1:10" ht="24" customHeight="1">
      <c r="A166" s="22"/>
      <c r="B166" s="220" t="s">
        <v>156</v>
      </c>
      <c r="C166" s="148"/>
      <c r="D166" s="49">
        <v>50</v>
      </c>
      <c r="E166" s="49">
        <f>SUM(E5:E165)</f>
        <v>5</v>
      </c>
      <c r="F166" s="49">
        <f>SUM(F5:F165)</f>
        <v>4</v>
      </c>
      <c r="G166" s="50">
        <f>SUM((D166)-(E166+F166))</f>
        <v>41</v>
      </c>
      <c r="H166" s="45"/>
      <c r="I166" s="22"/>
      <c r="J166" s="22"/>
    </row>
    <row r="167" spans="1:10" ht="11.2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</row>
    <row r="168" spans="1:10" ht="11.2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</row>
    <row r="169" spans="1:10" ht="11.2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</row>
    <row r="170" spans="1:10" ht="11.2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</row>
    <row r="171" spans="1:10" ht="11.2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</row>
  </sheetData>
  <mergeCells count="31">
    <mergeCell ref="B166:C166"/>
    <mergeCell ref="B29:B37"/>
    <mergeCell ref="B15:B22"/>
    <mergeCell ref="B38:B42"/>
    <mergeCell ref="B2:H2"/>
    <mergeCell ref="B3:C4"/>
    <mergeCell ref="B23:B28"/>
    <mergeCell ref="B5:B14"/>
    <mergeCell ref="H3:H4"/>
    <mergeCell ref="G3:G4"/>
    <mergeCell ref="B43:B51"/>
    <mergeCell ref="B52:B57"/>
    <mergeCell ref="B66:B67"/>
    <mergeCell ref="B68:B72"/>
    <mergeCell ref="B58:C58"/>
    <mergeCell ref="B59:B65"/>
    <mergeCell ref="B73:B76"/>
    <mergeCell ref="B77:B82"/>
    <mergeCell ref="B83:B89"/>
    <mergeCell ref="B90:B95"/>
    <mergeCell ref="B96:B104"/>
    <mergeCell ref="B106:B110"/>
    <mergeCell ref="B111:B114"/>
    <mergeCell ref="B115:B120"/>
    <mergeCell ref="B121:B124"/>
    <mergeCell ref="B126:B130"/>
    <mergeCell ref="B131:B136"/>
    <mergeCell ref="B138:B142"/>
    <mergeCell ref="B143:B151"/>
    <mergeCell ref="B152:B159"/>
    <mergeCell ref="B160:B165"/>
  </mergeCells>
  <phoneticPr fontId="8" type="noConversion"/>
  <pageMargins left="0.31496062992125984" right="0.19685039370078741" top="0.27559055118110237" bottom="0.39370078740157483" header="0.23622047244094491" footer="3.937007874015748E-2"/>
  <pageSetup paperSize="9" orientation="landscape" horizontalDpi="300" verticalDpi="300" r:id="rId1"/>
  <headerFooter>
    <oddFooter>&amp;C
&amp;P/&amp;N</oddFooter>
  </headerFooter>
  <ignoredErrors>
    <ignoredError sqref="E166:F166" formulaRange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G4:Q10"/>
  <sheetViews>
    <sheetView workbookViewId="0">
      <selection activeCell="S13" sqref="S13"/>
    </sheetView>
  </sheetViews>
  <sheetFormatPr defaultRowHeight="13.2"/>
  <sheetData>
    <row r="4" spans="7:17">
      <c r="P4" s="8" t="s">
        <v>29</v>
      </c>
    </row>
    <row r="5" spans="7:17" ht="14.25" customHeight="1">
      <c r="G5" s="230" t="s">
        <v>0</v>
      </c>
      <c r="H5" s="1" t="s">
        <v>1</v>
      </c>
      <c r="I5" s="1" t="s">
        <v>2</v>
      </c>
      <c r="J5" s="1" t="s">
        <v>3</v>
      </c>
      <c r="K5" s="1" t="s">
        <v>4</v>
      </c>
      <c r="N5" s="6"/>
      <c r="O5" s="7"/>
      <c r="P5" s="7">
        <v>0</v>
      </c>
      <c r="Q5" s="7">
        <v>0</v>
      </c>
    </row>
    <row r="6" spans="7:17" ht="15.6">
      <c r="G6" s="231"/>
      <c r="H6" s="233"/>
      <c r="I6" s="233"/>
      <c r="J6" s="233"/>
      <c r="K6" s="233"/>
      <c r="N6" s="7"/>
      <c r="O6" s="7"/>
      <c r="P6" s="7">
        <v>1</v>
      </c>
      <c r="Q6" s="7">
        <v>-1.5</v>
      </c>
    </row>
    <row r="7" spans="7:17" ht="15.6">
      <c r="G7" s="231"/>
      <c r="H7" s="234"/>
      <c r="I7" s="234"/>
      <c r="J7" s="234"/>
      <c r="K7" s="234"/>
      <c r="N7" s="7"/>
      <c r="O7" s="7"/>
      <c r="P7" s="7">
        <v>2</v>
      </c>
      <c r="Q7" s="7">
        <v>-3</v>
      </c>
    </row>
    <row r="8" spans="7:17" ht="15.6">
      <c r="G8" s="232"/>
      <c r="H8" s="235"/>
      <c r="I8" s="235"/>
      <c r="J8" s="235"/>
      <c r="K8" s="235"/>
      <c r="N8" s="7"/>
      <c r="O8" s="7"/>
      <c r="P8" s="7">
        <v>3</v>
      </c>
      <c r="Q8" s="7">
        <v>-4.5</v>
      </c>
    </row>
    <row r="9" spans="7:17" ht="15.6">
      <c r="N9" s="7"/>
      <c r="O9" s="7"/>
      <c r="P9" s="7"/>
      <c r="Q9" s="7">
        <v>-6</v>
      </c>
    </row>
    <row r="10" spans="7:17" ht="15.6">
      <c r="N10" s="7"/>
      <c r="O10" s="7"/>
      <c r="P10" s="7"/>
      <c r="Q10" s="7"/>
    </row>
  </sheetData>
  <mergeCells count="5">
    <mergeCell ref="G5:G8"/>
    <mergeCell ref="H6:H8"/>
    <mergeCell ref="I6:I8"/>
    <mergeCell ref="J6:J8"/>
    <mergeCell ref="K6:K8"/>
  </mergeCells>
  <phoneticPr fontId="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1</vt:i4>
      </vt:variant>
    </vt:vector>
  </HeadingPairs>
  <TitlesOfParts>
    <vt:vector size="5" baseType="lpstr">
      <vt:lpstr>평가 결과</vt:lpstr>
      <vt:lpstr>안전보건 서류부문</vt:lpstr>
      <vt:lpstr>안전보건 현장부문</vt:lpstr>
      <vt:lpstr>Sheet3</vt:lpstr>
      <vt:lpstr>'안전보건 현장부문'!Print_Area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kc@itvine.co.kr</cp:lastModifiedBy>
  <cp:lastPrinted>2026-03-27T02:19:57Z</cp:lastPrinted>
  <dcterms:created xsi:type="dcterms:W3CDTF">2026-03-16T01:02:53Z</dcterms:created>
  <dcterms:modified xsi:type="dcterms:W3CDTF">2026-06-11T03:56:35Z</dcterms:modified>
</cp:coreProperties>
</file>